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a0173b4cc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940cdf1d0a4831"/>
    <x:sheet xmlns:r="http://schemas.openxmlformats.org/officeDocument/2006/relationships" name="Assumptions" sheetId="2" r:id="Rba17e4d53b1e4c9d"/>
    <x:sheet xmlns:r="http://schemas.openxmlformats.org/officeDocument/2006/relationships" name="Valuation" sheetId="3" r:id="Rdbe23ccda5004968"/>
    <x:sheet xmlns:r="http://schemas.openxmlformats.org/officeDocument/2006/relationships" name="Comparable Valuation" sheetId="4" r:id="R7fef608f38c942e4"/>
    <x:sheet xmlns:r="http://schemas.openxmlformats.org/officeDocument/2006/relationships" name="Segment Build" sheetId="5" r:id="R2f73aa0d651746b8"/>
    <x:sheet xmlns:r="http://schemas.openxmlformats.org/officeDocument/2006/relationships" name="FCFF Build" sheetId="6" r:id="R040cff76f2ac40b2"/>
    <x:sheet xmlns:r="http://schemas.openxmlformats.org/officeDocument/2006/relationships" name="Q3 Balance" sheetId="7" r:id="Re7eef942d6894177"/>
    <x:sheet xmlns:r="http://schemas.openxmlformats.org/officeDocument/2006/relationships" name="Annual Actuals" sheetId="8" r:id="Rff4aa86a2282470c"/>
    <x:sheet xmlns:r="http://schemas.openxmlformats.org/officeDocument/2006/relationships" name="9M25 Operating" sheetId="9" r:id="Rf5605568ae2d44ba"/>
    <x:sheet xmlns:r="http://schemas.openxmlformats.org/officeDocument/2006/relationships" name="EPS Versions" sheetId="10" r:id="Rd17b04ed26a94bee"/>
    <x:sheet xmlns:r="http://schemas.openxmlformats.org/officeDocument/2006/relationships" name="Share Bridge" sheetId="11" r:id="Ree760648e4d54ea4"/>
    <x:sheet xmlns:r="http://schemas.openxmlformats.org/officeDocument/2006/relationships" name="Checks" sheetId="12" r:id="R737f3cde41f24b65"/>
    <x:sheet xmlns:r="http://schemas.openxmlformats.org/officeDocument/2006/relationships" name="Sources" sheetId="13" r:id="R4430e228d3c7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0.0%"/>
    <x:numFmt numFmtId="201" formatCode="dd-mmm-yyyy"/>
    <x:numFmt numFmtId="202" formatCode="0.00%"/>
    <x:numFmt numFmtId="203" formatCode="0.00x"/>
    <x:numFmt numFmtId="204" formatCode="#,##0"/>
    <x:numFmt numFmtId="205" formatCode="0.0x"/>
    <x:numFmt numFmtId="206" formatCode="#,##0.0;(#,##0.0);-"/>
    <x:numFmt numFmtId="207" formatCode="0.000;[Red](0.000);0.000"/>
    <x:numFmt numFmtId="208" formatCode="0.00"/>
    <x:numFmt numFmtId="209" formatCode="0.000x"/>
    <x:numFmt numFmtId="210" formatCode="#,##0.0"/>
    <x:numFmt numFmtId="211" formatCode="0.00;[Red](0.00);0.00"/>
    <x:numFmt numFmtId="212" formatCode="yyyy-mm-dd"/>
    <x:numFmt numFmtId="213" formatCode="0;[Red](0);-"/>
    <x:numFmt numFmtId="214" formatCode="0.00;(0.00);0.00"/>
  </x:numFmts>
  <x:fonts count="15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9"/>
      <x:color rgb="FF4B5563"/>
      <x:name val="Arial"/>
    </x:font>
    <x:font>
      <x:sz val="10"/>
      <x:color rgb="FF008000"/>
      <x:name val="Arial"/>
    </x:font>
    <x:font>
      <x:i/>
      <x:sz val="10"/>
      <x:color rgb="FF1F2937"/>
      <x:name val="Arial"/>
    </x:font>
    <x:font>
      <x:sz val="9"/>
      <x:color rgb="FFC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1">
    <x:border/>
    <x:border>
      <x:bottom style="thin">
        <x:color rgb="FF9EADBA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17365D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6" fontId="12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8" fillId="0" borderId="1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204" fontId="7" fillId="4" borderId="1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  <x:xf numFmtId="21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1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5" fontId="7" fillId="4" borderId="0" xfId="0" applyNumberFormat="1" applyFont="1" applyFill="1" applyBorder="1" applyAlignment="1">
      <x:alignment vertical="center"/>
    </x:xf>
    <x:xf numFmtId="210" fontId="7" fillId="4" borderId="10" xfId="0" applyNumberFormat="1" applyFont="1" applyFill="1" applyBorder="1" applyAlignment="1">
      <x:alignment vertical="center"/>
    </x:xf>
    <x:xf numFmtId="200" fontId="7" fillId="4" borderId="10" xfId="0" applyNumberFormat="1" applyFont="1" applyFill="1" applyBorder="1" applyAlignment="1">
      <x:alignment vertical="center"/>
    </x:xf>
    <x:xf numFmtId="205" fontId="7" fillId="4" borderId="1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211" fontId="1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212" fontId="1" fillId="0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c73f677d34837" /><Relationship Type="http://schemas.openxmlformats.org/officeDocument/2006/relationships/theme" Target="/xl/theme/theme1.xml" Id="Rb10e1a468402490d" /><Relationship Type="http://schemas.openxmlformats.org/officeDocument/2006/relationships/sharedStrings" Target="/xl/sharedStrings.xml" Id="Rda2fc1db2dee4782" /><Relationship Type="http://schemas.openxmlformats.org/officeDocument/2006/relationships/worksheet" Target="/xl/worksheets/sheet1.xml" Id="R86940cdf1d0a4831" /><Relationship Type="http://schemas.openxmlformats.org/officeDocument/2006/relationships/worksheet" Target="/xl/worksheets/sheet2.xml" Id="Rba17e4d53b1e4c9d" /><Relationship Type="http://schemas.openxmlformats.org/officeDocument/2006/relationships/worksheet" Target="/xl/worksheets/sheet3.xml" Id="Rdbe23ccda5004968" /><Relationship Type="http://schemas.openxmlformats.org/officeDocument/2006/relationships/worksheet" Target="/xl/worksheets/sheet4.xml" Id="R7fef608f38c942e4" /><Relationship Type="http://schemas.openxmlformats.org/officeDocument/2006/relationships/worksheet" Target="/xl/worksheets/sheet5.xml" Id="R2f73aa0d651746b8" /><Relationship Type="http://schemas.openxmlformats.org/officeDocument/2006/relationships/worksheet" Target="/xl/worksheets/sheet6.xml" Id="R040cff76f2ac40b2" /><Relationship Type="http://schemas.openxmlformats.org/officeDocument/2006/relationships/worksheet" Target="/xl/worksheets/sheet7.xml" Id="Re7eef942d6894177" /><Relationship Type="http://schemas.openxmlformats.org/officeDocument/2006/relationships/worksheet" Target="/xl/worksheets/sheet8.xml" Id="Rff4aa86a2282470c" /><Relationship Type="http://schemas.openxmlformats.org/officeDocument/2006/relationships/worksheet" Target="/xl/worksheets/sheet9.xml" Id="Rf5605568ae2d44ba" /><Relationship Type="http://schemas.openxmlformats.org/officeDocument/2006/relationships/worksheet" Target="/xl/worksheets/sheet10.xml" Id="Rd17b04ed26a94bee" /><Relationship Type="http://schemas.openxmlformats.org/officeDocument/2006/relationships/worksheet" Target="/xl/worksheets/sheet11.xml" Id="Ree760648e4d54ea4" /><Relationship Type="http://schemas.openxmlformats.org/officeDocument/2006/relationships/worksheet" Target="/xl/worksheets/sheet12.xml" Id="R737f3cde41f24b65" /><Relationship Type="http://schemas.openxmlformats.org/officeDocument/2006/relationships/worksheet" Target="/xl/worksheets/sheet13.xml" Id="R4430e228d3c747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56d07376fc4917" /><Relationship Type="http://schemas.openxmlformats.org/officeDocument/2006/relationships/chart" Target="/xl/drawings/charts/chart2.xml" Id="Rb3dc67be7296480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01e029ca4cf48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range (VND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Low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Valuation'!$I$6:$I$9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Valuation'!$J$6:$J$9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Valuation'!$K$6:$K$9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56d07376fc4917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dc67be7296480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1e029ca4cf48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895b7ac20440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e13203c98ed7490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30" hidden="0" customWidth="1"/>
    <x:col min="7" max="7" width="15" hidden="0" customWidth="1"/>
    <x:col min="8" max="8" width="17" hidden="0" customWidth="1"/>
    <x:col min="9" max="9" width="1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equity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Point-in-time DCF and P/E cross-check at 31-Oct-2025, supported by audited actuals, a selected-case forecast and peer evidence.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Metric</x:v>
      </x:c>
      <x:c r="D5" s="22" t="str">
        <x:v>2020A</x:v>
      </x:c>
      <x:c r="E5" s="22" t="str">
        <x:v>2021A</x:v>
      </x:c>
      <x:c r="F5" s="22" t="str">
        <x:v>2022A</x:v>
      </x:c>
      <x:c r="G5" s="22" t="str">
        <x:v>2023A</x:v>
      </x:c>
      <x:c r="H5" s="22" t="str">
        <x:v>2024A</x:v>
      </x:c>
      <x:c r="I5" s="97" t="str">
        <x:v>2025E</x:v>
      </x:c>
      <x:c r="J5" s="97" t="str">
        <x:v>2026E</x:v>
      </x:c>
      <x:c r="K5" s="97" t="str">
        <x:v>2027E</x:v>
      </x:c>
      <x:c r="L5" s="97" t="str">
        <x:v>2028E</x:v>
      </x:c>
      <x:c r="M5" s="97" t="str">
        <x:v>2029E</x:v>
      </x:c>
      <x:c r="N5" s="98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53" t="n">
        <x:f>'FCFF Build'!E6</x:f>
        <x:v>29830.400999999998</x:v>
      </x:c>
      <x:c r="E6" s="53" t="n">
        <x:f>'FCFF Build'!F6</x:f>
        <x:v>35657.26299999999</x:v>
      </x:c>
      <x:c r="F6" s="53" t="n">
        <x:f>'FCFF Build'!G6</x:f>
        <x:v>44009.528</x:v>
      </x:c>
      <x:c r="G6" s="53" t="n">
        <x:f>'FCFF Build'!H6</x:f>
        <x:v>52617.901000000005</x:v>
      </x:c>
      <x:c r="H6" s="53" t="n">
        <x:f>'FCFF Build'!I6</x:f>
        <x:v>62848.793999999994</x:v>
      </x:c>
      <x:c r="I6" s="53" t="n">
        <x:f>'FCFF Build'!J6</x:f>
        <x:v>69665.545229</x:v>
      </x:c>
      <x:c r="J6" s="53" t="n">
        <x:f>'FCFF Build'!K6</x:f>
        <x:v>78236.94259063198</x:v>
      </x:c>
      <x:c r="K6" s="53" t="n">
        <x:f>'FCFF Build'!L6</x:f>
        <x:v>87785.88987541632</x:v>
      </x:c>
      <x:c r="L6" s="53" t="n">
        <x:f>'FCFF Build'!M6</x:f>
        <x:v>98110.1208463709</x:v>
      </x:c>
      <x:c r="M6" s="53" t="n">
        <x:f>'FCFF Build'!N6</x:f>
        <x:v>108803.45980107687</x:v>
      </x:c>
      <x:c r="N6" s="53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95" t="str">
        <x:v>  Revenue growth</x:v>
      </x:c>
      <x:c r="D7" s="96"/>
      <x:c r="E7" s="96" t="n">
        <x:f>'FCFF Build'!F7</x:f>
        <x:v>0.1953330094355752</x:v>
      </x:c>
      <x:c r="F7" s="96" t="n">
        <x:f>'FCFF Build'!G7</x:f>
        <x:v>0.23423741188436153</x:v>
      </x:c>
      <x:c r="G7" s="96" t="n">
        <x:f>'FCFF Build'!H7</x:f>
        <x:v>0.1956024840802657</x:v>
      </x:c>
      <x:c r="H7" s="96" t="n">
        <x:f>'FCFF Build'!I7</x:f>
        <x:v>0.19443749761131657</x:v>
      </x:c>
      <x:c r="I7" s="96" t="n">
        <x:f>'FCFF Build'!J7</x:f>
        <x:v>0.10846272132127144</x:v>
      </x:c>
      <x:c r="J7" s="96" t="n">
        <x:f>'FCFF Build'!K7</x:f>
        <x:v>0.12303639242981101</x:v>
      </x:c>
      <x:c r="K7" s="96" t="n">
        <x:f>'FCFF Build'!L7</x:f>
        <x:v>0.12205164170011584</x:v>
      </x:c>
      <x:c r="L7" s="96" t="n">
        <x:f>'FCFF Build'!M7</x:f>
        <x:v>0.11760695238843599</x:v>
      </x:c>
      <x:c r="M7" s="96" t="n">
        <x:f>'FCFF Build'!N7</x:f>
        <x:v>0.10899322987737925</x:v>
      </x:c>
      <x:c r="N7" s="96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53" t="n">
        <x:f>'FCFF Build'!E9</x:f>
        <x:v>4604.729678588</x:v>
      </x:c>
      <x:c r="E8" s="53" t="n">
        <x:f>'FCFF Build'!F9</x:f>
        <x:v>5415.027516223</x:v>
      </x:c>
      <x:c r="F8" s="53" t="n">
        <x:f>'FCFF Build'!G9</x:f>
        <x:v>6794.557295869</x:v>
      </x:c>
      <x:c r="G8" s="53" t="n">
        <x:f>'FCFF Build'!H9</x:f>
        <x:v>8451.627899363</x:v>
      </x:c>
      <x:c r="H8" s="53" t="n">
        <x:f>'FCFF Build'!I9</x:f>
        <x:v>10508.347783359</x:v>
      </x:c>
      <x:c r="I8" s="53" t="n">
        <x:f>'FCFF Build'!J9</x:f>
        <x:v>11703.811598472</x:v>
      </x:c>
      <x:c r="J8" s="53" t="n">
        <x:f>'FCFF Build'!K9</x:f>
        <x:v>13300.280240407437</x:v>
      </x:c>
      <x:c r="K8" s="53" t="n">
        <x:f>'FCFF Build'!L9</x:f>
        <x:v>15099.173058571607</x:v>
      </x:c>
      <x:c r="L8" s="53" t="n">
        <x:f>'FCFF Build'!M9</x:f>
        <x:v>16973.050906422166</x:v>
      </x:c>
      <x:c r="M8" s="53" t="n">
        <x:f>'FCFF Build'!N9</x:f>
        <x:v>18931.802005387373</x:v>
      </x:c>
      <x:c r="N8" s="53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95" t="str">
        <x:v>  EBIT margin</x:v>
      </x:c>
      <x:c r="D9" s="96" t="n">
        <x:f>'FCFF Build'!E10</x:f>
        <x:v>0.15436365332762372</x:v>
      </x:c>
      <x:c r="E9" s="96" t="n">
        <x:f>'FCFF Build'!F10</x:f>
        <x:v>0.15186324077153654</x:v>
      </x:c>
      <x:c r="F9" s="96" t="n">
        <x:f>'FCFF Build'!G10</x:f>
        <x:v>0.154388324634361</x:v>
      </x:c>
      <x:c r="G9" s="96" t="n">
        <x:f>'FCFF Build'!H10</x:f>
        <x:v>0.1606226728687448</x:v>
      </x:c>
      <x:c r="H9" s="96" t="n">
        <x:f>'FCFF Build'!I10</x:f>
        <x:v>0.1672004682119915</x:v>
      </x:c>
      <x:c r="I9" s="96" t="n">
        <x:f>'FCFF Build'!J10</x:f>
        <x:v>0.168</x:v>
      </x:c>
      <x:c r="J9" s="96" t="n">
        <x:f>'FCFF Build'!K10</x:f>
        <x:v>0.17</x:v>
      </x:c>
      <x:c r="K9" s="96" t="n">
        <x:f>'FCFF Build'!L10</x:f>
        <x:v>0.172</x:v>
      </x:c>
      <x:c r="L9" s="96" t="n">
        <x:f>'FCFF Build'!M10</x:f>
        <x:v>0.173</x:v>
      </x:c>
      <x:c r="M9" s="96" t="n">
        <x:f>'FCFF Build'!N10</x:f>
        <x:v>0.174</x:v>
      </x:c>
      <x:c r="N9" s="96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58" t="str">
        <x:v>FCFF</x:v>
      </x:c>
      <x:c r="D10" s="59" t="n">
        <x:f>'FCFF Build'!E28</x:f>
        <x:v>3711.5663477649505</x:v>
      </x:c>
      <x:c r="E10" s="59" t="n">
        <x:f>'FCFF Build'!F28</x:f>
        <x:v>3926.6066845198616</x:v>
      </x:c>
      <x:c r="F10" s="59" t="n">
        <x:f>'FCFF Build'!G28</x:f>
        <x:v>2593.1029163330277</x:v>
      </x:c>
      <x:c r="G10" s="59" t="n">
        <x:f>'FCFF Build'!H28</x:f>
        <x:v>6138.912608288812</x:v>
      </x:c>
      <x:c r="H10" s="59" t="n">
        <x:f>'FCFF Build'!I28</x:f>
        <x:v>8512.04077889851</x:v>
      </x:c>
      <x:c r="I10" s="59" t="n">
        <x:f>'FCFF Build'!J28</x:f>
        <x:v>8429.740416777842</x:v>
      </x:c>
      <x:c r="J10" s="59" t="n">
        <x:f>'FCFF Build'!K28</x:f>
        <x:v>9659.043889280269</x:v>
      </x:c>
      <x:c r="K10" s="59" t="n">
        <x:f>'FCFF Build'!L28</x:f>
        <x:v>11251.033940666077</x:v>
      </x:c>
      <x:c r="L10" s="59" t="n">
        <x:f>'FCFF Build'!M28</x:f>
        <x:v>12860.311825504818</x:v>
      </x:c>
      <x:c r="M10" s="59" t="n">
        <x:f>'FCFF Build'!N28</x:f>
        <x:v>14586.667857646362</x:v>
      </x:c>
      <x:c r="N10" s="59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95" t="str">
        <x:v>  FCFF margin</x:v>
      </x:c>
      <x:c r="D11" s="96" t="n">
        <x:f>'FCFF Build'!E29</x:f>
        <x:v>0.12442227470441818</x:v>
      </x:c>
      <x:c r="E11" s="96" t="n">
        <x:f>'FCFF Build'!F29</x:f>
        <x:v>0.11012081001617714</x:v>
      </x:c>
      <x:c r="F11" s="96" t="n">
        <x:f>'FCFF Build'!G29</x:f>
        <x:v>0.058921398028468464</x:v>
      </x:c>
      <x:c r="G11" s="96" t="n">
        <x:f>'FCFF Build'!H29</x:f>
        <x:v>0.11666965978534209</x:v>
      </x:c>
      <x:c r="H11" s="96" t="n">
        <x:f>'FCFF Build'!I29</x:f>
        <x:v>0.13543681966114593</x:v>
      </x:c>
      <x:c r="I11" s="96" t="n">
        <x:f>'FCFF Build'!J29</x:f>
        <x:v>0.12100300642258888</x:v>
      </x:c>
      <x:c r="J11" s="96" t="n">
        <x:f>'FCFF Build'!K29</x:f>
        <x:v>0.12345886188089401</x:v>
      </x:c>
      <x:c r="K11" s="96" t="n">
        <x:f>'FCFF Build'!L29</x:f>
        <x:v>0.12816449154452134</x:v>
      </x:c>
      <x:c r="L11" s="96" t="n">
        <x:f>'FCFF Build'!M29</x:f>
        <x:v>0.1310803790125035</x:v>
      </x:c>
      <x:c r="M11" s="96" t="n">
        <x:f>'FCFF Build'!N29</x:f>
        <x:v>0.13406437519831507</x:v>
      </x:c>
      <x:c r="N11" s="96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11" t="str">
        <x:f>'Assumptions'!D6</x:f>
        <x:v>Base</x:v>
      </x:c>
      <x:c r="E14" s="2"/>
      <x:c r="F14" s="21" t="str">
        <x:v>DCF output</x:v>
      </x:c>
      <x:c r="G14" s="22" t="str">
        <x:v>Unit</x:v>
      </x:c>
      <x:c r="H14" s="23" t="str">
        <x:v>Value</x:v>
      </x:c>
      <x:c r="I14" s="2"/>
      <x:c r="J14" s="21" t="str">
        <x:v>Valuation cross-check</x:v>
      </x:c>
      <x:c r="K14" s="22" t="str">
        <x:v>Low</x:v>
      </x:c>
      <x:c r="L14" s="22" t="str">
        <x:v>Base</x:v>
      </x:c>
      <x:c r="M14" s="23" t="str">
        <x:v>High</x:v>
      </x:c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70" t="str">
        <x:v>DCF value per share</x:v>
      </x:c>
      <x:c r="G15" s="70" t="str">
        <x:v>VND / share</x:v>
      </x:c>
      <x:c r="H15" s="71" t="n">
        <x:f>'Valuation'!E46</x:f>
        <x:v>132526.66913903534</x:v>
      </x:c>
      <x:c r="I15" s="2"/>
      <x:c r="J15" s="2" t="str">
        <x:v>DCF</x:v>
      </x:c>
      <x:c r="K15" s="69" t="n">
        <x:f>'Comparable Valuation'!I6</x:f>
        <x:v>116340.8675534058</x:v>
      </x:c>
      <x:c r="L15" s="69" t="n">
        <x:f>'Comparable Valuation'!J6</x:f>
        <x:v>132526.66913903534</x:v>
      </x:c>
      <x:c r="M15" s="69" t="n">
        <x:f>'Comparable Valuation'!K6</x:f>
        <x:v>153749.2029790144</x:v>
      </x:c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70" t="str">
        <x:v>Market price</x:v>
      </x:c>
      <x:c r="G16" s="70" t="str">
        <x:v>VND / share</x:v>
      </x:c>
      <x:c r="H16" s="71" t="n">
        <x:f>'Valuation'!E47</x:f>
        <x:v>102830</x:v>
      </x:c>
      <x:c r="I16" s="2"/>
      <x:c r="J16" s="2" t="str">
        <x:v>P/E comparables</x:v>
      </x:c>
      <x:c r="K16" s="69" t="n">
        <x:f>'Comparable Valuation'!I7</x:f>
        <x:v>98496.44277708602</x:v>
      </x:c>
      <x:c r="L16" s="69" t="n">
        <x:f>'Comparable Valuation'!J7</x:f>
        <x:v>116754.33871307815</x:v>
      </x:c>
      <x:c r="M16" s="69" t="n">
        <x:f>'Comparable Valuation'!K7</x:f>
        <x:v>122899.30390850332</x:v>
      </x:c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Valuation triangulated</x:v>
      </x:c>
      <x:c r="E17" s="2"/>
      <x:c r="F17" s="70" t="str">
        <x:v>DCF price gap</x:v>
      </x:c>
      <x:c r="G17" s="70" t="str">
        <x:v>%</x:v>
      </x:c>
      <x:c r="H17" s="72" t="n">
        <x:f>'Valuation'!E48</x:f>
        <x:v>0.2887938261114007</x:v>
      </x:c>
      <x:c r="I17" s="2"/>
      <x:c r="J17" s="77" t="str">
        <x:v>Blended</x:v>
      </x:c>
      <x:c r="K17" s="78" t="n">
        <x:f>'Comparable Valuation'!I8</x:f>
        <x:v>109203.0976428779</x:v>
      </x:c>
      <x:c r="L17" s="78" t="n">
        <x:f>'Comparable Valuation'!J8</x:f>
        <x:v>126217.73696865246</x:v>
      </x:c>
      <x:c r="M17" s="78" t="n">
        <x:f>'Comparable Valuation'!K8</x:f>
        <x:v>141409.24335080996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/>
      <x:c r="D18" s="2"/>
      <x:c r="E18" s="2"/>
      <x:c r="F18" s="2" t="str">
        <x:v>WACC</x:v>
      </x:c>
      <x:c r="G18" s="2" t="str">
        <x:v>%</x:v>
      </x:c>
      <x:c r="H18" s="49" t="n">
        <x:f>'Valuation'!E20</x:f>
        <x:v>0.10227341491296883</x:v>
      </x:c>
      <x:c r="I18" s="2"/>
      <x:c r="J18" s="2" t="str">
        <x:v>Market price</x:v>
      </x:c>
      <x:c r="K18" s="69" t="n">
        <x:f>'Comparable Valuation'!I9</x:f>
        <x:v>102830</x:v>
      </x:c>
      <x:c r="L18" s="69" t="n">
        <x:f>'Comparable Valuation'!J9</x:f>
        <x:v>102830</x:v>
      </x:c>
      <x:c r="M18" s="69" t="n">
        <x:f>'Comparable Valuation'!K9</x:f>
        <x:v>102830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 t="str">
        <x:v>Terminal growth</x:v>
      </x:c>
      <x:c r="G19" s="2" t="str">
        <x:v>%</x:v>
      </x:c>
      <x:c r="H19" s="49" t="n">
        <x:f>'Valuation'!E30</x:f>
        <x:v>0.04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 t="str">
        <x:v>Terminal value / EV</x:v>
      </x:c>
      <x:c r="G20" s="2" t="str">
        <x:v>%</x:v>
      </x:c>
      <x:c r="H20" s="49" t="n">
        <x:f>'Valuation'!M28</x:f>
        <x:v>0.7684983025557585</x:v>
      </x:c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 t="str">
        <x:v>Market-implied terminal growth</x:v>
      </x:c>
      <x:c r="G21" s="2" t="str">
        <x:v>%</x:v>
      </x:c>
      <x:c r="H21" s="49" t="n">
        <x:f>'Valuation'!M11</x:f>
        <x:v>0.014097368324585392</x:v>
      </x:c>
      <x:c r="I21" s="2"/>
      <x:c r="J21" s="2"/>
      <x:c r="K21" s="2"/>
      <x:c r="L21" s="2"/>
      <x:c r="M21" s="2"/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 t="str">
        <x:v>Enterprise value</x:v>
      </x:c>
      <x:c r="G22" s="2" t="str">
        <x:v>VND bn</x:v>
      </x:c>
      <x:c r="H22" s="53" t="n">
        <x:f>'Valuation'!E34</x:f>
        <x:v>211426.54867552064</x:v>
      </x:c>
      <x:c r="I22" s="2"/>
      <x:c r="J22" s="2"/>
      <x:c r="K22" s="2"/>
      <x:c r="L22" s="2"/>
      <x:c r="M22" s="2"/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70" t="str">
        <x:v>Comparable value per share</x:v>
      </x:c>
      <x:c r="G23" s="70" t="str">
        <x:v>VND / share</x:v>
      </x:c>
      <x:c r="H23" s="71" t="n">
        <x:f>'Comparable Valuation'!E8</x:f>
        <x:v>116754.33871307815</x:v>
      </x:c>
      <x:c r="I23" s="2"/>
      <x:c r="J23" s="2"/>
      <x:c r="K23" s="2"/>
      <x:c r="L23" s="2"/>
      <x:c r="M23" s="2"/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70" t="str">
        <x:v>Blended value per share</x:v>
      </x:c>
      <x:c r="G24" s="70" t="str">
        <x:v>VND / share</x:v>
      </x:c>
      <x:c r="H24" s="71" t="n">
        <x:f>'Comparable Valuation'!E9</x:f>
        <x:v>126217.73696865246</x:v>
      </x:c>
      <x:c r="I24" s="2"/>
      <x:c r="J24" s="2"/>
      <x:c r="K24" s="2"/>
      <x:c r="L24" s="2"/>
      <x:c r="M24" s="2"/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70" t="str">
        <x:v>Blended price gap</x:v>
      </x:c>
      <x:c r="G25" s="70" t="str">
        <x:v>%</x:v>
      </x:c>
      <x:c r="H25" s="72" t="n">
        <x:f>'Comparable Valuation'!E10</x:f>
        <x:v>0.22744079518284988</x:v>
      </x:c>
      <x:c r="I25" s="2"/>
      <x:c r="J25" s="2"/>
      <x:c r="K25" s="2"/>
      <x:c r="L25" s="2"/>
      <x:c r="M25" s="2"/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  <x:drawing xmlns:r="http://schemas.openxmlformats.org/officeDocument/2006/relationships" r:id="R36895b7ac2044019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10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12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21" t="str">
        <x:v>Driver / case</x:v>
      </x:c>
      <x:c r="D8" s="22" t="str">
        <x:v>Unit</x:v>
      </x:c>
      <x:c r="E8" s="22" t="n">
        <x:v>2025</x:v>
      </x:c>
      <x:c r="F8" s="22" t="n">
        <x:v>2026</x:v>
      </x:c>
      <x:c r="G8" s="22" t="n">
        <x:v>2027</x:v>
      </x:c>
      <x:c r="H8" s="22" t="n">
        <x:v>2028</x:v>
      </x:c>
      <x:c r="I8" s="22" t="n">
        <x:v>2029</x:v>
      </x:c>
      <x:c r="J8" s="22" t="n">
        <x:v>2030</x:v>
      </x:c>
      <x:c r="K8" s="23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26" t="str">
        <x:v>Global IT revenue growth</x:v>
      </x:c>
      <x:c r="D10" s="26" t="str">
        <x:v>%</x:v>
      </x:c>
      <x:c r="E10" s="29" t="n">
        <x:f>CHOOSE($D$5,E11,E12)</x:f>
        <x:v>0.135</x:v>
      </x:c>
      <x:c r="F10" s="29" t="n">
        <x:f>CHOOSE($D$5,F11,F12)</x:f>
        <x:v>0.15</x:v>
      </x:c>
      <x:c r="G10" s="29" t="n">
        <x:f>CHOOSE($D$5,G11,G12)</x:f>
        <x:v>0.15</x:v>
      </x:c>
      <x:c r="H10" s="29" t="n">
        <x:f>CHOOSE($D$5,H11,H12)</x:f>
        <x:v>0.14</x:v>
      </x:c>
      <x:c r="I10" s="29" t="n">
        <x:f>CHOOSE($D$5,I11,I12)</x:f>
        <x:v>0.13</x:v>
      </x:c>
      <x:c r="J10" s="29" t="n">
        <x:f>CHOOSE($D$5,J11,J12)</x:f>
        <x:v>0.12</x:v>
      </x:c>
      <x:c r="K10" s="33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30" t="n">
        <x:v>0.135</x:v>
      </x:c>
      <x:c r="F11" s="30" t="n">
        <x:v>0.15</x:v>
      </x:c>
      <x:c r="G11" s="30" t="n">
        <x:v>0.15</x:v>
      </x:c>
      <x:c r="H11" s="30" t="n">
        <x:v>0.14</x:v>
      </x:c>
      <x:c r="I11" s="30" t="n">
        <x:v>0.13</x:v>
      </x:c>
      <x:c r="J11" s="30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30" t="n">
        <x:v>0.08</x:v>
      </x:c>
      <x:c r="F12" s="30" t="n">
        <x:v>0.1</x:v>
      </x:c>
      <x:c r="G12" s="30" t="n">
        <x:v>0.1</x:v>
      </x:c>
      <x:c r="H12" s="30" t="n">
        <x:v>0.09</x:v>
      </x:c>
      <x:c r="I12" s="30" t="n">
        <x:v>0.08</x:v>
      </x:c>
      <x:c r="J12" s="30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26" t="str">
        <x:v>Domestic IT revenue growth</x:v>
      </x:c>
      <x:c r="D14" s="26" t="str">
        <x:v>%</x:v>
      </x:c>
      <x:c r="E14" s="29" t="n">
        <x:f>CHOOSE($D$5,E15,E16)</x:f>
        <x:v>0.03</x:v>
      </x:c>
      <x:c r="F14" s="29" t="n">
        <x:f>CHOOSE($D$5,F15,F16)</x:f>
        <x:v>0.08</x:v>
      </x:c>
      <x:c r="G14" s="29" t="n">
        <x:f>CHOOSE($D$5,G15,G16)</x:f>
        <x:v>0.09</x:v>
      </x:c>
      <x:c r="H14" s="29" t="n">
        <x:f>CHOOSE($D$5,H15,H16)</x:f>
        <x:v>0.09</x:v>
      </x:c>
      <x:c r="I14" s="29" t="n">
        <x:f>CHOOSE($D$5,I15,I16)</x:f>
        <x:v>0.08</x:v>
      </x:c>
      <x:c r="J14" s="29" t="n">
        <x:f>CHOOSE($D$5,J15,J16)</x:f>
        <x:v>0.08</x:v>
      </x:c>
      <x:c r="K14" s="33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30" t="n">
        <x:v>0.03</x:v>
      </x:c>
      <x:c r="F15" s="30" t="n">
        <x:v>0.08</x:v>
      </x:c>
      <x:c r="G15" s="30" t="n">
        <x:v>0.09</x:v>
      </x:c>
      <x:c r="H15" s="30" t="n">
        <x:v>0.09</x:v>
      </x:c>
      <x:c r="I15" s="30" t="n">
        <x:v>0.08</x:v>
      </x:c>
      <x:c r="J15" s="30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30" t="n">
        <x:v>-0.02</x:v>
      </x:c>
      <x:c r="F16" s="30" t="n">
        <x:v>0.03</x:v>
      </x:c>
      <x:c r="G16" s="30" t="n">
        <x:v>0.05</x:v>
      </x:c>
      <x:c r="H16" s="30" t="n">
        <x:v>0.05</x:v>
      </x:c>
      <x:c r="I16" s="30" t="n">
        <x:v>0.05</x:v>
      </x:c>
      <x:c r="J16" s="30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26" t="str">
        <x:v>Telecom revenue growth</x:v>
      </x:c>
      <x:c r="D18" s="26" t="str">
        <x:v>%</x:v>
      </x:c>
      <x:c r="E18" s="29" t="n">
        <x:f>CHOOSE($D$5,E19,E20)</x:f>
        <x:v>0.12</x:v>
      </x:c>
      <x:c r="F18" s="29" t="n">
        <x:f>CHOOSE($D$5,F19,F20)</x:f>
        <x:v>0.11</x:v>
      </x:c>
      <x:c r="G18" s="29" t="n">
        <x:f>CHOOSE($D$5,G19,G20)</x:f>
        <x:v>0.1</x:v>
      </x:c>
      <x:c r="H18" s="29" t="n">
        <x:f>CHOOSE($D$5,H19,H20)</x:f>
        <x:v>0.1</x:v>
      </x:c>
      <x:c r="I18" s="29" t="n">
        <x:f>CHOOSE($D$5,I19,I20)</x:f>
        <x:v>0.09</x:v>
      </x:c>
      <x:c r="J18" s="29" t="n">
        <x:f>CHOOSE($D$5,J19,J20)</x:f>
        <x:v>0.09</x:v>
      </x:c>
      <x:c r="K18" s="33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30" t="n">
        <x:v>0.12</x:v>
      </x:c>
      <x:c r="F19" s="30" t="n">
        <x:v>0.11</x:v>
      </x:c>
      <x:c r="G19" s="30" t="n">
        <x:v>0.1</x:v>
      </x:c>
      <x:c r="H19" s="30" t="n">
        <x:v>0.1</x:v>
      </x:c>
      <x:c r="I19" s="30" t="n">
        <x:v>0.09</x:v>
      </x:c>
      <x:c r="J19" s="30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30" t="n">
        <x:v>0.08</x:v>
      </x:c>
      <x:c r="F20" s="30" t="n">
        <x:v>0.07</x:v>
      </x:c>
      <x:c r="G20" s="30" t="n">
        <x:v>0.07</x:v>
      </x:c>
      <x:c r="H20" s="30" t="n">
        <x:v>0.06</x:v>
      </x:c>
      <x:c r="I20" s="30" t="n">
        <x:v>0.06</x:v>
      </x:c>
      <x:c r="J20" s="30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26" t="str">
        <x:v>Digital content revenue growth</x:v>
      </x:c>
      <x:c r="D22" s="26" t="str">
        <x:v>%</x:v>
      </x:c>
      <x:c r="E22" s="29" t="n">
        <x:f>CHOOSE($D$5,E23,E24)</x:f>
        <x:v>0.14</x:v>
      </x:c>
      <x:c r="F22" s="29" t="n">
        <x:f>CHOOSE($D$5,F23,F24)</x:f>
        <x:v>0.12</x:v>
      </x:c>
      <x:c r="G22" s="29" t="n">
        <x:f>CHOOSE($D$5,G23,G24)</x:f>
        <x:v>0.1</x:v>
      </x:c>
      <x:c r="H22" s="29" t="n">
        <x:f>CHOOSE($D$5,H23,H24)</x:f>
        <x:v>0.1</x:v>
      </x:c>
      <x:c r="I22" s="29" t="n">
        <x:f>CHOOSE($D$5,I23,I24)</x:f>
        <x:v>0.08</x:v>
      </x:c>
      <x:c r="J22" s="29" t="n">
        <x:f>CHOOSE($D$5,J23,J24)</x:f>
        <x:v>0.08</x:v>
      </x:c>
      <x:c r="K22" s="33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30" t="n">
        <x:v>0.14</x:v>
      </x:c>
      <x:c r="F23" s="30" t="n">
        <x:v>0.12</x:v>
      </x:c>
      <x:c r="G23" s="30" t="n">
        <x:v>0.1</x:v>
      </x:c>
      <x:c r="H23" s="30" t="n">
        <x:v>0.1</x:v>
      </x:c>
      <x:c r="I23" s="30" t="n">
        <x:v>0.08</x:v>
      </x:c>
      <x:c r="J23" s="30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30" t="n">
        <x:v>0.05</x:v>
      </x:c>
      <x:c r="F24" s="30" t="n">
        <x:v>0.05</x:v>
      </x:c>
      <x:c r="G24" s="30" t="n">
        <x:v>0.05</x:v>
      </x:c>
      <x:c r="H24" s="30" t="n">
        <x:v>0.04</x:v>
      </x:c>
      <x:c r="I24" s="30" t="n">
        <x:v>0.04</x:v>
      </x:c>
      <x:c r="J24" s="30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26" t="str">
        <x:v>Education, investment and other revenue growth</x:v>
      </x:c>
      <x:c r="D26" s="26" t="str">
        <x:v>%</x:v>
      </x:c>
      <x:c r="E26" s="29" t="n">
        <x:f>CHOOSE($D$5,E27,E28)</x:f>
        <x:v>0.05</x:v>
      </x:c>
      <x:c r="F26" s="29" t="n">
        <x:f>CHOOSE($D$5,F27,F28)</x:f>
        <x:v>0.08</x:v>
      </x:c>
      <x:c r="G26" s="29" t="n">
        <x:f>CHOOSE($D$5,G27,G28)</x:f>
        <x:v>0.08</x:v>
      </x:c>
      <x:c r="H26" s="29" t="n">
        <x:f>CHOOSE($D$5,H27,H28)</x:f>
        <x:v>0.08</x:v>
      </x:c>
      <x:c r="I26" s="29" t="n">
        <x:f>CHOOSE($D$5,I27,I28)</x:f>
        <x:v>0.08</x:v>
      </x:c>
      <x:c r="J26" s="29" t="n">
        <x:f>CHOOSE($D$5,J27,J28)</x:f>
        <x:v>0.08</x:v>
      </x:c>
      <x:c r="K26" s="33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30" t="n">
        <x:v>0.05</x:v>
      </x:c>
      <x:c r="F27" s="30" t="n">
        <x:v>0.08</x:v>
      </x:c>
      <x:c r="G27" s="30" t="n">
        <x:v>0.08</x:v>
      </x:c>
      <x:c r="H27" s="30" t="n">
        <x:v>0.08</x:v>
      </x:c>
      <x:c r="I27" s="30" t="n">
        <x:v>0.08</x:v>
      </x:c>
      <x:c r="J27" s="30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30" t="n">
        <x:v>0</x:v>
      </x:c>
      <x:c r="F28" s="30" t="n">
        <x:v>0.03</x:v>
      </x:c>
      <x:c r="G28" s="30" t="n">
        <x:v>0.04</x:v>
      </x:c>
      <x:c r="H28" s="30" t="n">
        <x:v>0.04</x:v>
      </x:c>
      <x:c r="I28" s="30" t="n">
        <x:v>0.04</x:v>
      </x:c>
      <x:c r="J28" s="30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26" t="str">
        <x:v>Consolidation elimination / gross segment revenue</x:v>
      </x:c>
      <x:c r="D30" s="26" t="str">
        <x:v>%</x:v>
      </x:c>
      <x:c r="E30" s="29" t="n">
        <x:f>CHOOSE($D$5,E31,E32)</x:f>
        <x:v>-0.02</x:v>
      </x:c>
      <x:c r="F30" s="29" t="n">
        <x:f>CHOOSE($D$5,F31,F32)</x:f>
        <x:v>-0.02</x:v>
      </x:c>
      <x:c r="G30" s="29" t="n">
        <x:f>CHOOSE($D$5,G31,G32)</x:f>
        <x:v>-0.02</x:v>
      </x:c>
      <x:c r="H30" s="29" t="n">
        <x:f>CHOOSE($D$5,H31,H32)</x:f>
        <x:v>-0.02</x:v>
      </x:c>
      <x:c r="I30" s="29" t="n">
        <x:f>CHOOSE($D$5,I31,I32)</x:f>
        <x:v>-0.02</x:v>
      </x:c>
      <x:c r="J30" s="29" t="n">
        <x:f>CHOOSE($D$5,J31,J32)</x:f>
        <x:v>-0.02</x:v>
      </x:c>
      <x:c r="K30" s="33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30" t="n">
        <x:v>-0.02</x:v>
      </x:c>
      <x:c r="F31" s="30" t="n">
        <x:v>-0.02</x:v>
      </x:c>
      <x:c r="G31" s="30" t="n">
        <x:v>-0.02</x:v>
      </x:c>
      <x:c r="H31" s="30" t="n">
        <x:v>-0.02</x:v>
      </x:c>
      <x:c r="I31" s="30" t="n">
        <x:v>-0.02</x:v>
      </x:c>
      <x:c r="J31" s="30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30" t="n">
        <x:v>-0.022</x:v>
      </x:c>
      <x:c r="F32" s="30" t="n">
        <x:v>-0.022</x:v>
      </x:c>
      <x:c r="G32" s="30" t="n">
        <x:v>-0.022</x:v>
      </x:c>
      <x:c r="H32" s="30" t="n">
        <x:v>-0.022</x:v>
      </x:c>
      <x:c r="I32" s="30" t="n">
        <x:v>-0.022</x:v>
      </x:c>
      <x:c r="J32" s="30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26" t="str">
        <x:v>EBIT margin before financial items</x:v>
      </x:c>
      <x:c r="D34" s="26" t="str">
        <x:v>%</x:v>
      </x:c>
      <x:c r="E34" s="29" t="n">
        <x:f>CHOOSE($D$5,E35,E36)</x:f>
        <x:v>0.168</x:v>
      </x:c>
      <x:c r="F34" s="29" t="n">
        <x:f>CHOOSE($D$5,F35,F36)</x:f>
        <x:v>0.17</x:v>
      </x:c>
      <x:c r="G34" s="29" t="n">
        <x:f>CHOOSE($D$5,G35,G36)</x:f>
        <x:v>0.172</x:v>
      </x:c>
      <x:c r="H34" s="29" t="n">
        <x:f>CHOOSE($D$5,H35,H36)</x:f>
        <x:v>0.173</x:v>
      </x:c>
      <x:c r="I34" s="29" t="n">
        <x:f>CHOOSE($D$5,I35,I36)</x:f>
        <x:v>0.174</x:v>
      </x:c>
      <x:c r="J34" s="29" t="n">
        <x:f>CHOOSE($D$5,J35,J36)</x:f>
        <x:v>0.175</x:v>
      </x:c>
      <x:c r="K34" s="33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30" t="n">
        <x:v>0.168</x:v>
      </x:c>
      <x:c r="F35" s="30" t="n">
        <x:v>0.17</x:v>
      </x:c>
      <x:c r="G35" s="30" t="n">
        <x:v>0.172</x:v>
      </x:c>
      <x:c r="H35" s="30" t="n">
        <x:v>0.173</x:v>
      </x:c>
      <x:c r="I35" s="30" t="n">
        <x:v>0.174</x:v>
      </x:c>
      <x:c r="J35" s="30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30" t="n">
        <x:v>0.16</x:v>
      </x:c>
      <x:c r="F36" s="30" t="n">
        <x:v>0.16</x:v>
      </x:c>
      <x:c r="G36" s="30" t="n">
        <x:v>0.162</x:v>
      </x:c>
      <x:c r="H36" s="30" t="n">
        <x:v>0.163</x:v>
      </x:c>
      <x:c r="I36" s="30" t="n">
        <x:v>0.164</x:v>
      </x:c>
      <x:c r="J36" s="30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26" t="str">
        <x:v>Cash tax rate</x:v>
      </x:c>
      <x:c r="D38" s="26" t="str">
        <x:v>%</x:v>
      </x:c>
      <x:c r="E38" s="29" t="n">
        <x:f>CHOOSE($D$5,E39,E40)</x:f>
        <x:v>0.155</x:v>
      </x:c>
      <x:c r="F38" s="29" t="n">
        <x:f>CHOOSE($D$5,F39,F40)</x:f>
        <x:v>0.155</x:v>
      </x:c>
      <x:c r="G38" s="29" t="n">
        <x:f>CHOOSE($D$5,G39,G40)</x:f>
        <x:v>0.155</x:v>
      </x:c>
      <x:c r="H38" s="29" t="n">
        <x:f>CHOOSE($D$5,H39,H40)</x:f>
        <x:v>0.155</x:v>
      </x:c>
      <x:c r="I38" s="29" t="n">
        <x:f>CHOOSE($D$5,I39,I40)</x:f>
        <x:v>0.155</x:v>
      </x:c>
      <x:c r="J38" s="29" t="n">
        <x:f>CHOOSE($D$5,J39,J40)</x:f>
        <x:v>0.155</x:v>
      </x:c>
      <x:c r="K38" s="33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30" t="n">
        <x:v>0.155</x:v>
      </x:c>
      <x:c r="F39" s="30" t="n">
        <x:v>0.155</x:v>
      </x:c>
      <x:c r="G39" s="30" t="n">
        <x:v>0.155</x:v>
      </x:c>
      <x:c r="H39" s="30" t="n">
        <x:v>0.155</x:v>
      </x:c>
      <x:c r="I39" s="30" t="n">
        <x:v>0.155</x:v>
      </x:c>
      <x:c r="J39" s="30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30" t="n">
        <x:v>0.16</x:v>
      </x:c>
      <x:c r="F40" s="30" t="n">
        <x:v>0.16</x:v>
      </x:c>
      <x:c r="G40" s="30" t="n">
        <x:v>0.16</x:v>
      </x:c>
      <x:c r="H40" s="30" t="n">
        <x:v>0.16</x:v>
      </x:c>
      <x:c r="I40" s="30" t="n">
        <x:v>0.16</x:v>
      </x:c>
      <x:c r="J40" s="30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26" t="str">
        <x:v>Depreciation and amortisation / revenue</x:v>
      </x:c>
      <x:c r="D42" s="26" t="str">
        <x:v>%</x:v>
      </x:c>
      <x:c r="E42" s="29" t="n">
        <x:f>CHOOSE($D$5,E43,E44)</x:f>
        <x:v>0.041</x:v>
      </x:c>
      <x:c r="F42" s="29" t="n">
        <x:f>CHOOSE($D$5,F43,F44)</x:f>
        <x:v>0.04</x:v>
      </x:c>
      <x:c r="G42" s="29" t="n">
        <x:f>CHOOSE($D$5,G43,G44)</x:f>
        <x:v>0.04</x:v>
      </x:c>
      <x:c r="H42" s="29" t="n">
        <x:f>CHOOSE($D$5,H43,H44)</x:f>
        <x:v>0.039</x:v>
      </x:c>
      <x:c r="I42" s="29" t="n">
        <x:f>CHOOSE($D$5,I43,I44)</x:f>
        <x:v>0.039</x:v>
      </x:c>
      <x:c r="J42" s="29" t="n">
        <x:f>CHOOSE($D$5,J43,J44)</x:f>
        <x:v>0.038</x:v>
      </x:c>
      <x:c r="K42" s="33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30" t="n">
        <x:v>0.041</x:v>
      </x:c>
      <x:c r="F43" s="30" t="n">
        <x:v>0.04</x:v>
      </x:c>
      <x:c r="G43" s="30" t="n">
        <x:v>0.04</x:v>
      </x:c>
      <x:c r="H43" s="30" t="n">
        <x:v>0.039</x:v>
      </x:c>
      <x:c r="I43" s="30" t="n">
        <x:v>0.039</x:v>
      </x:c>
      <x:c r="J43" s="30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30" t="n">
        <x:v>0.041</x:v>
      </x:c>
      <x:c r="F44" s="30" t="n">
        <x:v>0.041</x:v>
      </x:c>
      <x:c r="G44" s="30" t="n">
        <x:v>0.04</x:v>
      </x:c>
      <x:c r="H44" s="30" t="n">
        <x:v>0.04</x:v>
      </x:c>
      <x:c r="I44" s="30" t="n">
        <x:v>0.039</x:v>
      </x:c>
      <x:c r="J44" s="30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26" t="str">
        <x:v>Capital expenditure / revenue</x:v>
      </x:c>
      <x:c r="D46" s="26" t="str">
        <x:v>%</x:v>
      </x:c>
      <x:c r="E46" s="29" t="n">
        <x:f>CHOOSE($D$5,E47,E48)</x:f>
        <x:v>0.06</x:v>
      </x:c>
      <x:c r="F46" s="29" t="n">
        <x:f>CHOOSE($D$5,F47,F48)</x:f>
        <x:v>0.058</x:v>
      </x:c>
      <x:c r="G46" s="29" t="n">
        <x:f>CHOOSE($D$5,G47,G48)</x:f>
        <x:v>0.055</x:v>
      </x:c>
      <x:c r="H46" s="29" t="n">
        <x:f>CHOOSE($D$5,H47,H48)</x:f>
        <x:v>0.052</x:v>
      </x:c>
      <x:c r="I46" s="29" t="n">
        <x:f>CHOOSE($D$5,I47,I48)</x:f>
        <x:v>0.05</x:v>
      </x:c>
      <x:c r="J46" s="29" t="n">
        <x:f>CHOOSE($D$5,J47,J48)</x:f>
        <x:v>0.05</x:v>
      </x:c>
      <x:c r="K46" s="33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30" t="n">
        <x:v>0.06</x:v>
      </x:c>
      <x:c r="F47" s="30" t="n">
        <x:v>0.058</x:v>
      </x:c>
      <x:c r="G47" s="30" t="n">
        <x:v>0.055</x:v>
      </x:c>
      <x:c r="H47" s="30" t="n">
        <x:v>0.052</x:v>
      </x:c>
      <x:c r="I47" s="30" t="n">
        <x:v>0.05</x:v>
      </x:c>
      <x:c r="J47" s="30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30" t="n">
        <x:v>0.06</x:v>
      </x:c>
      <x:c r="F48" s="30" t="n">
        <x:v>0.058</x:v>
      </x:c>
      <x:c r="G48" s="30" t="n">
        <x:v>0.055</x:v>
      </x:c>
      <x:c r="H48" s="30" t="n">
        <x:v>0.052</x:v>
      </x:c>
      <x:c r="I48" s="30" t="n">
        <x:v>0.05</x:v>
      </x:c>
      <x:c r="J48" s="30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26" t="str">
        <x:v>Change in working capital / incremental revenue</x:v>
      </x:c>
      <x:c r="D50" s="26" t="str">
        <x:v>%</x:v>
      </x:c>
      <x:c r="E50" s="29" t="n">
        <x:f>CHOOSE($D$5,E51,E52)</x:f>
        <x:v>0.02</x:v>
      </x:c>
      <x:c r="F50" s="29" t="n">
        <x:f>CHOOSE($D$5,F51,F52)</x:f>
        <x:v>0.02</x:v>
      </x:c>
      <x:c r="G50" s="29" t="n">
        <x:f>CHOOSE($D$5,G51,G52)</x:f>
        <x:v>0.02</x:v>
      </x:c>
      <x:c r="H50" s="29" t="n">
        <x:f>CHOOSE($D$5,H51,H52)</x:f>
        <x:v>0.02</x:v>
      </x:c>
      <x:c r="I50" s="29" t="n">
        <x:f>CHOOSE($D$5,I51,I52)</x:f>
        <x:v>0.02</x:v>
      </x:c>
      <x:c r="J50" s="29" t="n">
        <x:f>CHOOSE($D$5,J51,J52)</x:f>
        <x:v>0.02</x:v>
      </x:c>
      <x:c r="K50" s="33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30" t="n">
        <x:v>0.02</x:v>
      </x:c>
      <x:c r="F51" s="30" t="n">
        <x:v>0.02</x:v>
      </x:c>
      <x:c r="G51" s="30" t="n">
        <x:v>0.02</x:v>
      </x:c>
      <x:c r="H51" s="30" t="n">
        <x:v>0.02</x:v>
      </x:c>
      <x:c r="I51" s="30" t="n">
        <x:v>0.02</x:v>
      </x:c>
      <x:c r="J51" s="30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30" t="n">
        <x:v>0.035</x:v>
      </x:c>
      <x:c r="F52" s="30" t="n">
        <x:v>0.035</x:v>
      </x:c>
      <x:c r="G52" s="30" t="n">
        <x:v>0.035</x:v>
      </x:c>
      <x:c r="H52" s="30" t="n">
        <x:v>0.035</x:v>
      </x:c>
      <x:c r="I52" s="30" t="n">
        <x:v>0.035</x:v>
      </x:c>
      <x:c r="J52" s="30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34" t="str">
        <x:v>FY2025 assumptions use 9M2025 issuer data as the forecast-origin anchor. Later FY2025 actuals remain outside Clock A.</x:v>
      </x:c>
      <x:c r="D54" s="34" t="str">
        <x:v>FY2025 assumptions use 9M2025 issuer data as the forecast-origin anchor. Later FY2025 actuals remain outside Clock A.</x:v>
      </x:c>
      <x:c r="E54" s="34" t="str">
        <x:v>FY2025 assumptions use 9M2025 issuer data as the forecast-origin anchor. Later FY2025 actuals remain outside Clock A.</x:v>
      </x:c>
      <x:c r="F54" s="34" t="str">
        <x:v>FY2025 assumptions use 9M2025 issuer data as the forecast-origin anchor. Later FY2025 actuals remain outside Clock A.</x:v>
      </x:c>
      <x:c r="G54" s="34" t="str">
        <x:v>FY2025 assumptions use 9M2025 issuer data as the forecast-origin anchor. Later FY2025 actuals remain outside Clock A.</x:v>
      </x:c>
      <x:c r="H54" s="34" t="str">
        <x:v>FY2025 assumptions use 9M2025 issuer data as the forecast-origin anchor. Later FY2025 actuals remain outside Clock A.</x:v>
      </x:c>
      <x:c r="I54" s="34" t="str">
        <x:v>FY2025 assumptions use 9M2025 issuer data as the forecast-origin anchor. Later FY2025 actuals remain outside Clock A.</x:v>
      </x:c>
      <x:c r="J54" s="34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C57" s="35" t="str">
        <x:v>Valuation assumptions</x:v>
      </x:c>
      <x:c r="D57" s="36" t="str">
        <x:v>Valuation assumptions</x:v>
      </x:c>
      <x:c r="E57" s="36" t="str">
        <x:v>Valuation assumptions</x:v>
      </x:c>
      <x:c r="F57" s="36" t="str">
        <x:v>Valuation assumptions</x:v>
      </x:c>
      <x:c r="G57" s="36" t="str">
        <x:v>Valuation assumptions</x:v>
      </x:c>
      <x:c r="H57" s="36" t="str">
        <x:v>Valuation assumptions</x:v>
      </x:c>
      <x:c r="I57" s="36" t="str">
        <x:v>Valuation assumptions</x:v>
      </x:c>
      <x:c r="J57" s="36" t="str">
        <x:v>Valuation assumptions</x:v>
      </x:c>
      <x:c r="K57" s="37" t="str">
        <x:v>Valuation assumptions</x:v>
      </x:c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C59" s="21" t="str">
        <x:v>Parameter</x:v>
      </x:c>
      <x:c r="D59" s="22" t="str">
        <x:v>Unit</x:v>
      </x:c>
      <x:c r="E59" s="23" t="str">
        <x:v>Input</x:v>
      </x:c>
      <x:c r="F59" s="2"/>
      <x:c r="G59" s="2"/>
      <x:c r="H59" s="2"/>
      <x:c r="I59" s="2"/>
      <x:c r="J59" s="2"/>
      <x:c r="K59" s="40" t="str">
        <x:v>Rationale / evidence</x:v>
      </x:c>
    </x:row>
    <x:row r="60" ht="28" hidden="0" customHeight="1">
      <x:c r="C60" s="2" t="str">
        <x:v>Valuation date</x:v>
      </x:c>
      <x:c r="D60" s="2" t="str">
        <x:v>Date</x:v>
      </x:c>
      <x:c r="E60" s="42" t="n">
        <x:v>45961</x:v>
      </x:c>
      <x:c r="F60" s="2"/>
      <x:c r="G60" s="2"/>
      <x:c r="H60" s="2"/>
      <x:c r="I60" s="2"/>
      <x:c r="J60" s="2"/>
      <x:c r="K60" s="48" t="str">
        <x:v>Clock A cutoff; all operating and balance-sheet information was public by this date.</x:v>
      </x:c>
    </x:row>
    <x:row r="61" ht="28" customHeight="1">
      <x:c r="C61" s="2" t="str">
        <x:v>Vietnam 10-year government bond yield</x:v>
      </x:c>
      <x:c r="D61" s="2" t="str">
        <x:v>%</x:v>
      </x:c>
      <x:c r="E61" s="43" t="n">
        <x:v>0.03414</x:v>
      </x:c>
      <x:c r="F61" s="2"/>
      <x:c r="G61" s="2"/>
      <x:c r="H61" s="2"/>
      <x:c r="I61" s="2"/>
      <x:c r="J61" s="2"/>
      <x:c r="K61" s="48" t="str">
        <x:v>Secondary-market 10-year government bond yield at 31-Oct-2025 (SSC monthly market report).</x:v>
      </x:c>
    </x:row>
    <x:row r="62" ht="28" customHeight="1">
      <x:c r="C62" s="2" t="str">
        <x:v>Vietnam equity risk premium</x:v>
      </x:c>
      <x:c r="D62" s="2" t="str">
        <x:v>%</x:v>
      </x:c>
      <x:c r="E62" s="43" t="n">
        <x:v>0.0835</x:v>
      </x:c>
      <x:c r="F62" s="2"/>
      <x:c r="G62" s="2"/>
      <x:c r="H62" s="2"/>
      <x:c r="I62" s="2"/>
      <x:c r="J62" s="2"/>
      <x:c r="K62" s="48" t="str">
        <x:v>January 2025 Damodaran-based Vietnam ERP used in Vietnam broker research.</x:v>
      </x:c>
    </x:row>
    <x:row r="63" ht="28" customHeight="1">
      <x:c r="C63" s="2" t="str">
        <x:v>Levered beta</x:v>
      </x:c>
      <x:c r="D63" s="2" t="str">
        <x:v>x</x:v>
      </x:c>
      <x:c r="E63" s="44" t="n">
        <x:v>0.9</x:v>
      </x:c>
      <x:c r="F63" s="2"/>
      <x:c r="G63" s="2"/>
      <x:c r="H63" s="2"/>
      <x:c r="I63" s="2"/>
      <x:c r="J63" s="2"/>
      <x:c r="K63" s="48" t="str">
        <x:v>FPT-specific beta used by Yuanta in its 03-Sep-2025 report.</x:v>
      </x:c>
    </x:row>
    <x:row r="64" ht="28" customHeight="1">
      <x:c r="C64" s="2" t="str">
        <x:v>Pre-tax cost of debt</x:v>
      </x:c>
      <x:c r="D64" s="2" t="str">
        <x:v>%</x:v>
      </x:c>
      <x:c r="E64" s="30" t="n">
        <x:v>0.0465</x:v>
      </x:c>
      <x:c r="F64" s="2"/>
      <x:c r="G64" s="2"/>
      <x:c r="H64" s="2"/>
      <x:c r="I64" s="2"/>
      <x:c r="J64" s="2"/>
      <x:c r="K64" s="48" t="str">
        <x:v>Annualised 9M2025 interest expense divided by average reported borrowings; rounded.</x:v>
      </x:c>
    </x:row>
    <x:row r="65" ht="28" customHeight="1">
      <x:c r="C65" s="2" t="str">
        <x:v>Normalised tax rate</x:v>
      </x:c>
      <x:c r="D65" s="2" t="str">
        <x:v>%</x:v>
      </x:c>
      <x:c r="E65" s="30" t="n">
        <x:v>0.15</x:v>
      </x:c>
      <x:c r="F65" s="2"/>
      <x:c r="G65" s="2"/>
      <x:c r="H65" s="2"/>
      <x:c r="I65" s="2"/>
      <x:c r="J65" s="2"/>
      <x:c r="K65" s="48" t="str">
        <x:v>Within FPT's historical effective-tax range and close to the 9M2025 effective rate.</x:v>
      </x:c>
    </x:row>
    <x:row r="66" ht="28" customHeight="1">
      <x:c r="C66" s="2" t="str">
        <x:v>Terminal growth rate</x:v>
      </x:c>
      <x:c r="D66" s="2" t="str">
        <x:v>%</x:v>
      </x:c>
      <x:c r="E66" s="30" t="n">
        <x:v>0.04</x:v>
      </x:c>
      <x:c r="F66" s="2"/>
      <x:c r="G66" s="2"/>
      <x:c r="H66" s="2"/>
      <x:c r="I66" s="2"/>
      <x:c r="J66" s="2"/>
      <x:c r="K66" s="48" t="str">
        <x:v>Nominal VND perpetual growth; below the explicit forecast and tested in sensitivity.</x:v>
      </x:c>
    </x:row>
    <x:row r="67" ht="28" customHeight="1">
      <x:c r="C67" s="2" t="str">
        <x:v>Cash included in equity bridge</x:v>
      </x:c>
      <x:c r="D67" s="2" t="str">
        <x:v>%</x:v>
      </x:c>
      <x:c r="E67" s="30" t="n">
        <x:v>1</x:v>
      </x:c>
      <x:c r="F67" s="2"/>
      <x:c r="G67" s="2"/>
      <x:c r="H67" s="2"/>
      <x:c r="I67" s="2"/>
      <x:c r="J67" s="2"/>
      <x:c r="K67" s="48" t="str">
        <x:v>Editable haircut for cash considered excess to operations.</x:v>
      </x:c>
    </x:row>
    <x:row r="68" ht="28" customHeight="1">
      <x:c r="C68" s="2" t="str">
        <x:v>Short-term investments included</x:v>
      </x:c>
      <x:c r="D68" s="2" t="str">
        <x:v>%</x:v>
      </x:c>
      <x:c r="E68" s="30" t="n">
        <x:v>1</x:v>
      </x:c>
      <x:c r="F68" s="2"/>
      <x:c r="G68" s="2"/>
      <x:c r="H68" s="2"/>
      <x:c r="I68" s="2"/>
      <x:c r="J68" s="2"/>
      <x:c r="K68" s="48" t="str">
        <x:v>Editable haircut for deposits and held-to-maturity short-term investments.</x:v>
      </x:c>
    </x:row>
    <x:row r="69" ht="28" customHeight="1">
      <x:c r="C69" s="2" t="str">
        <x:v>Non-operating investments included</x:v>
      </x:c>
      <x:c r="D69" s="2" t="str">
        <x:v>%</x:v>
      </x:c>
      <x:c r="E69" s="30" t="n">
        <x:v>1</x:v>
      </x:c>
      <x:c r="F69" s="2"/>
      <x:c r="G69" s="2"/>
      <x:c r="H69" s="2"/>
      <x:c r="I69" s="2"/>
      <x:c r="J69" s="2"/>
      <x:c r="K69" s="48" t="str">
        <x:v>Applies to associates and net other long-term financial investments.</x:v>
      </x:c>
    </x:row>
    <x:row r="70" ht="28" customHeight="1">
      <x:c r="C70" s="2" t="str">
        <x:v>FPT closing price</x:v>
      </x:c>
      <x:c r="D70" s="2" t="str">
        <x:v>VND / share</x:v>
      </x:c>
      <x:c r="E70" s="45" t="n">
        <x:v>102830</x:v>
      </x:c>
      <x:c r="F70" s="2"/>
      <x:c r="G70" s="2"/>
      <x:c r="H70" s="2"/>
      <x:c r="I70" s="2"/>
      <x:c r="J70" s="2"/>
      <x:c r="K70" s="48" t="str">
        <x:v>Unadjusted closing price at 31-Oct-2025; historical price identified as sourced from HOSE.</x:v>
      </x:c>
    </x:row>
    <x:row r="71"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C73" s="35" t="str">
        <x:v>Comparable-valuation assumptions</x:v>
      </x:c>
      <x:c r="D73" s="36" t="str">
        <x:v>Comparable-valuation assumptions</x:v>
      </x:c>
      <x:c r="E73" s="36" t="str">
        <x:v>Comparable-valuation assumptions</x:v>
      </x:c>
      <x:c r="F73" s="36" t="str">
        <x:v>Comparable-valuation assumptions</x:v>
      </x:c>
      <x:c r="G73" s="36" t="str">
        <x:v>Comparable-valuation assumptions</x:v>
      </x:c>
      <x:c r="H73" s="36" t="str">
        <x:v>Comparable-valuation assumptions</x:v>
      </x:c>
      <x:c r="I73" s="36" t="str">
        <x:v>Comparable-valuation assumptions</x:v>
      </x:c>
      <x:c r="J73" s="36" t="str">
        <x:v>Comparable-valuation assumptions</x:v>
      </x:c>
      <x:c r="K73" s="37" t="str">
        <x:v>Comparable-valuation assumptions</x:v>
      </x:c>
    </x:row>
    <x:row r="74"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C75" s="21" t="str">
        <x:v>Parameter</x:v>
      </x:c>
      <x:c r="D75" s="22" t="str">
        <x:v>Unit</x:v>
      </x:c>
      <x:c r="E75" s="23" t="str">
        <x:v>Input</x:v>
      </x:c>
      <x:c r="F75" s="2"/>
      <x:c r="G75" s="2"/>
      <x:c r="H75" s="2"/>
      <x:c r="I75" s="2"/>
      <x:c r="J75" s="2"/>
      <x:c r="K75" s="40" t="str">
        <x:v>Rationale / evidence</x:v>
      </x:c>
    </x:row>
    <x:row r="76" ht="28" customHeight="1">
      <x:c r="C76" s="2" t="str">
        <x:v>DCF weight in blended value</x:v>
      </x:c>
      <x:c r="D76" s="2" t="str">
        <x:v>%</x:v>
      </x:c>
      <x:c r="E76" s="30" t="n">
        <x:v>0.6</x:v>
      </x:c>
      <x:c r="F76" s="2"/>
      <x:c r="G76" s="2"/>
      <x:c r="H76" s="2"/>
      <x:c r="I76" s="2"/>
      <x:c r="J76" s="2"/>
      <x:c r="K76" s="48" t="str">
        <x:v>The DCF remains the primary method because it reflects FPT-specific cash generation and capital intensity.</x:v>
      </x:c>
    </x:row>
    <x:row r="77" ht="28" customHeight="1">
      <x:c r="C77" s="2" t="str">
        <x:v>Comparable-valuation weight</x:v>
      </x:c>
      <x:c r="D77" s="2" t="str">
        <x:v>%</x:v>
      </x:c>
      <x:c r="E77" s="49" t="n">
        <x:f>1-E76</x:f>
        <x:v>0.4</x:v>
      </x:c>
      <x:c r="F77" s="2"/>
      <x:c r="G77" s="2"/>
      <x:c r="H77" s="2"/>
      <x:c r="I77" s="2"/>
      <x:c r="J77" s="2"/>
      <x:c r="K77" s="48" t="str">
        <x:v>Calculated as one less the DCF weight.</x:v>
      </x:c>
    </x:row>
    <x:row r="78" ht="28" customHeight="1">
      <x:c r="C78" s="2" t="str">
        <x:v>Peer-multiple adjustment</x:v>
      </x:c>
      <x:c r="D78" s="2" t="str">
        <x:v>%</x:v>
      </x:c>
      <x:c r="E78" s="30" t="n">
        <x:v>-0.05</x:v>
      </x:c>
      <x:c r="F78" s="2"/>
      <x:c r="G78" s="2"/>
      <x:c r="H78" s="2"/>
      <x:c r="I78" s="2"/>
      <x:c r="J78" s="2"/>
      <x:c r="K78" s="48" t="str">
        <x:v>A 5% conglomerate and comparability adjustment is applied to the segment-mix peer median.</x:v>
      </x:c>
    </x:row>
    <x:row r="79" ht="28" customHeight="1">
      <x:c r="C79" s="2" t="str">
        <x:v>FPT observed 2026F P/E reference</x:v>
      </x:c>
      <x:c r="D79" s="2" t="str">
        <x:v>x</x:v>
      </x:c>
      <x:c r="E79" s="51" t="n">
        <x:v>17</x:v>
      </x:c>
      <x:c r="F79" s="2"/>
      <x:c r="G79" s="2"/>
      <x:c r="H79" s="2"/>
      <x:c r="I79" s="2"/>
      <x:c r="J79" s="2"/>
      <x:c r="K79" s="48" t="str">
        <x:v>Vietcap observed FPT at 17.0x 2026F P/E using data at 21-Oct-2025; used as the low-end market reference.</x:v>
      </x:c>
    </x:row>
    <x:row r="80"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C84" s="2"/>
      <x:c r="D84" s="2"/>
      <x:c r="E84" s="2"/>
      <x:c r="F84" s="2"/>
      <x:c r="G84" s="2"/>
      <x:c r="H84" s="2"/>
      <x:c r="I84" s="2"/>
      <x:c r="J84" s="2"/>
      <x:c r="K84" s="2"/>
    </x:row>
  </x:sheetData>
  <x:mergeCells>
    <x:mergeCell ref="C54:K54"/>
    <x:mergeCell ref="C57:K57"/>
    <x:mergeCell ref="C73:K73"/>
  </x:mergeCells>
  <x:dataValidations count="1">
    <x:dataValidation type="whole" operator="between" sqref="D5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7" hidden="0" customWidth="1"/>
    <x:col min="6" max="6" width="58" hidden="0" customWidth="1"/>
    <x:col min="7" max="7" width="14" hidden="0" customWidth="1"/>
    <x:col min="8" max="8" width="14" hidden="0" customWidth="1"/>
    <x:col min="11" max="11" width="34" hidden="0" customWidth="1"/>
    <x:col min="12" max="12" width="14" hidden="0" customWidth="1"/>
    <x:col min="13" max="13" width="17" hidden="0" customWidth="1"/>
    <x:col min="14" max="14" width="4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 ht="18" hidden="0" customHeight="1">
      <x:c r="C2" s="3" t="str">
        <x:v>FPT discounted cash flow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Valuation date 31-Oct-2025. Explicit FCFF begins in FY2026 to avoid counting cash flows earned before the valuation date.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21" t="str">
        <x:v>Cost of capital</x:v>
      </x:c>
      <x:c r="D5" s="22" t="str">
        <x:v>Unit</x:v>
      </x:c>
      <x:c r="E5" s="22" t="str">
        <x:v>Value</x:v>
      </x:c>
      <x:c r="F5" s="23" t="str">
        <x:v>Calculation / source</x:v>
      </x:c>
      <x:c r="G5" s="2"/>
      <x:c r="H5" s="2"/>
      <x:c r="I5" s="2"/>
      <x:c r="J5" s="2"/>
      <x:c r="K5" s="21" t="str">
        <x:v>Reverse DCF</x:v>
      </x:c>
      <x:c r="L5" s="22" t="str">
        <x:v>Unit</x:v>
      </x:c>
      <x:c r="M5" s="22" t="str">
        <x:v>Value</x:v>
      </x:c>
      <x:c r="N5" s="23" t="str">
        <x:v>Interpretation</x:v>
      </x:c>
      <x:c r="O5" s="2"/>
      <x:c r="P5" s="2"/>
      <x:c r="Q5" s="2"/>
    </x:row>
    <x:row r="6" ht="15" hidden="0" customHeight="1">
      <x:c r="C6" s="2" t="str">
        <x:v>Valuation date</x:v>
      </x:c>
      <x:c r="D6" s="2" t="str">
        <x:v>Date</x:v>
      </x:c>
      <x:c r="E6" s="64" t="n">
        <x:f>'Assumptions'!E60</x:f>
        <x:v>45961</x:v>
      </x:c>
      <x:c r="F6" s="2" t="str">
        <x:v>Assumptions</x:v>
      </x:c>
      <x:c r="G6" s="2"/>
      <x:c r="H6" s="2"/>
      <x:c r="I6" s="2"/>
      <x:c r="J6" s="2"/>
      <x:c r="K6" s="2" t="str">
        <x:v>Market capitalisation</x:v>
      </x:c>
      <x:c r="L6" s="2" t="str">
        <x:v>VND bn</x:v>
      </x:c>
      <x:c r="M6" s="53" t="n">
        <x:f>E14</x:f>
        <x:v>175171.63725243002</x:v>
      </x:c>
      <x:c r="N6" s="2" t="str">
        <x:v>Observed equity value</x:v>
      </x:c>
      <x:c r="O6" s="2"/>
      <x:c r="P6" s="2"/>
      <x:c r="Q6" s="2"/>
    </x:row>
    <x:row r="7" ht="15" hidden="0" customHeight="1">
      <x:c r="C7" s="2" t="str">
        <x:v>Risk-free rate</x:v>
      </x:c>
      <x:c r="D7" s="2" t="str">
        <x:v>%</x:v>
      </x:c>
      <x:c r="E7" s="65" t="n">
        <x:f>'Assumptions'!E61</x:f>
        <x:v>0.03414</x:v>
      </x:c>
      <x:c r="F7" s="2" t="str">
        <x:v>Vietnam 10-year government bond yield</x:v>
      </x:c>
      <x:c r="G7" s="2"/>
      <x:c r="H7" s="2"/>
      <x:c r="I7" s="2"/>
      <x:c r="J7" s="2"/>
      <x:c r="K7" s="2" t="str">
        <x:v>Market-implied enterprise value</x:v>
      </x:c>
      <x:c r="L7" s="2" t="str">
        <x:v>VND bn</x:v>
      </x:c>
      <x:c r="M7" s="53" t="n">
        <x:f>M6+E11+'Q3 Balance'!E13-E38-E39-E40-E41</x:f>
        <x:v>160838.06132719302</x:v>
      </x:c>
      <x:c r="N7" s="2" t="str">
        <x:v>EV after the same bridge used by the DCF</x:v>
      </x:c>
      <x:c r="O7" s="2"/>
      <x:c r="P7" s="2"/>
      <x:c r="Q7" s="2"/>
    </x:row>
    <x:row r="8" ht="15" hidden="0" customHeight="1">
      <x:c r="C8" s="2" t="str">
        <x:v>Equity risk premium</x:v>
      </x:c>
      <x:c r="D8" s="2" t="str">
        <x:v>%</x:v>
      </x:c>
      <x:c r="E8" s="65" t="n">
        <x:f>'Assumptions'!E62</x:f>
        <x:v>0.0835</x:v>
      </x:c>
      <x:c r="F8" s="2" t="str">
        <x:v>Vietnam ERP</x:v>
      </x:c>
      <x:c r="G8" s="2"/>
      <x:c r="H8" s="2"/>
      <x:c r="I8" s="2"/>
      <x:c r="J8" s="2"/>
      <x:c r="K8" s="2" t="str">
        <x:v>PV of explicit FCFF</x:v>
      </x:c>
      <x:c r="L8" s="2" t="str">
        <x:v>VND bn</x:v>
      </x:c>
      <x:c r="M8" s="53" t="n">
        <x:f>E33</x:f>
        <x:v>48945.60490316058</x:v>
      </x:c>
      <x:c r="N8" s="2" t="str">
        <x:v>Base-case operating forecast</x:v>
      </x:c>
      <x:c r="O8" s="2"/>
      <x:c r="P8" s="2"/>
      <x:c r="Q8" s="2"/>
    </x:row>
    <x:row r="9" ht="15" hidden="0" customHeight="1">
      <x:c r="C9" s="2" t="str">
        <x:v>Levered beta</x:v>
      </x:c>
      <x:c r="D9" s="2" t="str">
        <x:v>x</x:v>
      </x:c>
      <x:c r="E9" s="66" t="n">
        <x:f>'Assumptions'!E63</x:f>
        <x:v>0.9</x:v>
      </x:c>
      <x:c r="F9" s="2" t="str">
        <x:v>FPT-specific beta</x:v>
      </x:c>
      <x:c r="G9" s="2"/>
      <x:c r="H9" s="2"/>
      <x:c r="I9" s="2"/>
      <x:c r="J9" s="2"/>
      <x:c r="K9" s="2" t="str">
        <x:v>Market-implied PV of terminal value</x:v>
      </x:c>
      <x:c r="L9" s="2" t="str">
        <x:v>VND bn</x:v>
      </x:c>
      <x:c r="M9" s="53" t="n">
        <x:f>M7-M8</x:f>
        <x:v>111892.45642403244</x:v>
      </x:c>
      <x:c r="N9" s="2" t="str">
        <x:v>Residual value assigned by the market</x:v>
      </x:c>
      <x:c r="O9" s="2"/>
      <x:c r="P9" s="2"/>
      <x:c r="Q9" s="2"/>
    </x:row>
    <x:row r="10" ht="15" hidden="0" customHeight="1">
      <x:c r="C10" s="2" t="str">
        <x:v>Cost of equity</x:v>
      </x:c>
      <x:c r="D10" s="2" t="str">
        <x:v>%</x:v>
      </x:c>
      <x:c r="E10" s="62" t="n">
        <x:f>E7+E8*E9</x:f>
        <x:v>0.10929</x:v>
      </x:c>
      <x:c r="F10" s="2" t="str">
        <x:v>Risk-free rate + beta x ERP</x:v>
      </x:c>
      <x:c r="G10" s="2"/>
      <x:c r="H10" s="2"/>
      <x:c r="I10" s="2"/>
      <x:c r="J10" s="2"/>
      <x:c r="K10" s="2" t="str">
        <x:v>Market-implied terminal value at 2030</x:v>
      </x:c>
      <x:c r="L10" s="2" t="str">
        <x:v>VND bn</x:v>
      </x:c>
      <x:c r="M10" s="53" t="n">
        <x:f>M9*(1+$E$20)^5.17</x:f>
        <x:v>185112.8895491007</x:v>
      </x:c>
      <x:c r="N10" s="2" t="str">
        <x:v>Residual value rolled forward to 2030</x:v>
      </x:c>
      <x:c r="O10" s="2"/>
      <x:c r="P10" s="2"/>
      <x:c r="Q10" s="2"/>
    </x:row>
    <x:row r="11" ht="15" hidden="0" customHeight="1">
      <x:c r="C11" s="2" t="str">
        <x:v>Reported debt</x:v>
      </x:c>
      <x:c r="D11" s="2" t="str">
        <x:v>VND bn</x:v>
      </x:c>
      <x:c r="E11" s="53" t="n">
        <x:f>'Q3 Balance'!E11+'Q3 Balance'!E12</x:f>
        <x:v>19587.852526968</x:v>
      </x:c>
      <x:c r="F11" s="2" t="str">
        <x:v>30-Sep-2025 short- and long-term borrowings</x:v>
      </x:c>
      <x:c r="G11" s="2"/>
      <x:c r="H11" s="2"/>
      <x:c r="I11" s="2"/>
      <x:c r="J11" s="2"/>
      <x:c r="K11" s="2" t="str">
        <x:v>Market-implied terminal growth</x:v>
      </x:c>
      <x:c r="L11" s="2" t="str">
        <x:v>%</x:v>
      </x:c>
      <x:c r="M11" s="49" t="n">
        <x:f>(M10*$E$20-H24)/(M10+H24)</x:f>
        <x:v>0.014097368324585392</x:v>
      </x:c>
      <x:c r="N11" s="2" t="str">
        <x:v>Perpetual growth implied by the market price</x:v>
      </x:c>
      <x:c r="O11" s="2"/>
      <x:c r="P11" s="2"/>
      <x:c r="Q11" s="2"/>
    </x:row>
    <x:row r="12" ht="15" hidden="0" customHeight="1">
      <x:c r="C12" s="2" t="str">
        <x:v>Market price</x:v>
      </x:c>
      <x:c r="D12" s="2" t="str">
        <x:v>VND / share</x:v>
      </x:c>
      <x:c r="E12" s="53" t="n">
        <x:f>'Assumptions'!E70</x:f>
        <x:v>102830</x:v>
      </x:c>
      <x:c r="F12" s="2" t="str">
        <x:v>31-Oct-2025 close</x:v>
      </x:c>
      <x:c r="G12" s="2"/>
      <x:c r="H12" s="2"/>
      <x:c r="I12" s="2"/>
      <x:c r="J12" s="2"/>
      <x:c r="K12" s="2" t="str">
        <x:v>Market price</x:v>
      </x:c>
      <x:c r="L12" s="2" t="str">
        <x:v>VND / share</x:v>
      </x:c>
      <x:c r="M12" s="69" t="n">
        <x:f>E47</x:f>
        <x:v>102830</x:v>
      </x:c>
      <x:c r="N12" s="2" t="str">
        <x:v>Observed at valuation date</x:v>
      </x:c>
      <x:c r="O12" s="2"/>
      <x:c r="P12" s="2"/>
      <x:c r="Q12" s="2"/>
    </x:row>
    <x:row r="13" ht="15" hidden="0" customHeight="1">
      <x:c r="C13" s="2" t="str">
        <x:v>Shares outstanding</x:v>
      </x:c>
      <x:c r="D13" s="2" t="str">
        <x:v>million</x:v>
      </x:c>
      <x:c r="E13" s="53" t="n">
        <x:f>'Q3 Balance'!E14</x:f>
        <x:v>1703.507121</x:v>
      </x:c>
      <x:c r="F13" s="2" t="str">
        <x:v>30-Sep-2025 reported shares</x:v>
      </x:c>
      <x:c r="G13" s="2"/>
      <x:c r="H13" s="2"/>
      <x:c r="I13" s="2"/>
      <x:c r="J13" s="2"/>
      <x:c r="K13" s="2" t="str">
        <x:v>DCF value per share</x:v>
      </x:c>
      <x:c r="L13" s="2" t="str">
        <x:v>VND / share</x:v>
      </x:c>
      <x:c r="M13" s="69" t="n">
        <x:f>E46</x:f>
        <x:v>132526.66913903534</x:v>
      </x:c>
      <x:c r="N13" s="2" t="str">
        <x:v>Base DCF output</x:v>
      </x:c>
      <x:c r="O13" s="2"/>
      <x:c r="P13" s="2"/>
      <x:c r="Q13" s="2"/>
    </x:row>
    <x:row r="14" ht="15" hidden="0" customHeight="1">
      <x:c r="C14" s="2" t="str">
        <x:v>Market capitalisation</x:v>
      </x:c>
      <x:c r="D14" s="2" t="str">
        <x:v>VND bn</x:v>
      </x:c>
      <x:c r="E14" s="53" t="n">
        <x:f>E12*E13/1000</x:f>
        <x:v>175171.63725243002</x:v>
      </x:c>
      <x:c r="F14" s="2" t="str">
        <x:v>Price x shares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2" t="str">
        <x:v>Equity weight</x:v>
      </x:c>
      <x:c r="D15" s="2" t="str">
        <x:v>%</x:v>
      </x:c>
      <x:c r="E15" s="62" t="n">
        <x:f>E14/(E14+E11)</x:f>
        <x:v>0.8994254269758308</x:v>
      </x:c>
      <x:c r="F15" s="2" t="str">
        <x:v>Market capitalisation / (market capitalisation + debt)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 t="str">
        <x:v>Debt weight</x:v>
      </x:c>
      <x:c r="D16" s="2" t="str">
        <x:v>%</x:v>
      </x:c>
      <x:c r="E16" s="62" t="n">
        <x:f>E11/(E14+E11)</x:f>
        <x:v>0.1005745730241692</x:v>
      </x:c>
      <x:c r="F16" s="2" t="str">
        <x:v>Debt / (market capitalisation + debt)</x:v>
      </x:c>
      <x:c r="G16" s="2"/>
      <x:c r="H16" s="2"/>
      <x:c r="I16" s="2"/>
      <x:c r="J16" s="2"/>
      <x:c r="K16" s="35" t="str">
        <x:v>DCF value per share sensitivity (VND)</x:v>
      </x:c>
      <x:c r="L16" s="36" t="str">
        <x:v>DCF value per share sensitivity (VND)</x:v>
      </x:c>
      <x:c r="M16" s="36" t="str">
        <x:v>DCF value per share sensitivity (VND)</x:v>
      </x:c>
      <x:c r="N16" s="36" t="str">
        <x:v>DCF value per share sensitivity (VND)</x:v>
      </x:c>
      <x:c r="O16" s="36" t="str">
        <x:v>DCF value per share sensitivity (VND)</x:v>
      </x:c>
      <x:c r="P16" s="36" t="str">
        <x:v>DCF value per share sensitivity (VND)</x:v>
      </x:c>
      <x:c r="Q16" s="37" t="str">
        <x:v>DCF value per share sensitivity (VND)</x:v>
      </x:c>
    </x:row>
    <x:row r="17" ht="15" hidden="0" customHeight="1">
      <x:c r="C17" s="2" t="str">
        <x:v>Pre-tax cost of debt</x:v>
      </x:c>
      <x:c r="D17" s="2" t="str">
        <x:v>%</x:v>
      </x:c>
      <x:c r="E17" s="62" t="n">
        <x:f>'Assumptions'!E64</x:f>
        <x:v>0.0465</x:v>
      </x:c>
      <x:c r="F17" s="2" t="str">
        <x:v>Annualised observed interest cost</x:v>
      </x:c>
      <x:c r="G17" s="2"/>
      <x:c r="H17" s="2"/>
      <x:c r="I17" s="2"/>
      <x:c r="J17" s="2"/>
      <x:c r="K17" s="21" t="str">
        <x:v>WACC / g</x:v>
      </x:c>
      <x:c r="L17" s="22" t="n">
        <x:v>0.03</x:v>
      </x:c>
      <x:c r="M17" s="22" t="n">
        <x:v>0.035</x:v>
      </x:c>
      <x:c r="N17" s="22" t="n">
        <x:v>0.04</x:v>
      </x:c>
      <x:c r="O17" s="22" t="n">
        <x:v>0.045</x:v>
      </x:c>
      <x:c r="P17" s="22" t="n">
        <x:v>0.05</x:v>
      </x:c>
      <x:c r="Q17" s="23" t="n">
        <x:v>0.055</x:v>
      </x:c>
    </x:row>
    <x:row r="18" ht="15" hidden="0" customHeight="1">
      <x:c r="C18" s="2" t="str">
        <x:v>Normalised tax rate</x:v>
      </x:c>
      <x:c r="D18" s="2" t="str">
        <x:v>%</x:v>
      </x:c>
      <x:c r="E18" s="62" t="n">
        <x:f>'Assumptions'!E65</x:f>
        <x:v>0.15</x:v>
      </x:c>
      <x:c r="F18" s="2" t="str">
        <x:v>Assumptions</x:v>
      </x:c>
      <x:c r="G18" s="2"/>
      <x:c r="H18" s="2"/>
      <x:c r="I18" s="2"/>
      <x:c r="J18" s="2"/>
      <x:c r="K18" s="62" t="n">
        <x:v>0.0875</x:v>
      </x:c>
      <x:c r="L18" s="69" t="n">
        <x:f>(D24/(1+$K18)^D25+E24/(1+$K18)^E25+F24/(1+$K18)^F25+G24/(1+$K18)^G25+H24/(1+$K18)^H25+H24*(1+L$17)/($K18-L$17)/(1+$K18)^5.17+SUM($E$38:$E$43))/$E$45*1000</x:f>
        <x:v>147926.94683912923</x:v>
      </x:c>
      <x:c r="M18" s="69" t="n">
        <x:f>(D24/(1+$K18)^D25+E24/(1+$K18)^E25+F24/(1+$K18)^F25+G24/(1+$K18)^G25+H24/(1+$K18)^H25+H24*(1+M$17)/($K18-M$17)/(1+$K18)^5.17+SUM($E$38:$E$43))/$E$45*1000</x:f>
        <x:v>158957.47969964365</x:v>
      </x:c>
      <x:c r="N18" s="69" t="n">
        <x:f>(D24/(1+$K18)^D25+E24/(1+$K18)^E25+F24/(1+$K18)^F25+G24/(1+$K18)^G25+H24/(1+$K18)^H25+H24*(1+N$17)/($K18-N$17)/(1+$K18)^5.17+SUM($E$38:$E$43))/$E$45*1000</x:f>
        <x:v>172310.23000447688</x:v>
      </x:c>
      <x:c r="O18" s="69" t="n">
        <x:f>(D24/(1+$K18)^D25+E24/(1+$K18)^E25+F24/(1+$K18)^F25+G24/(1+$K18)^G25+H24/(1+$K18)^H25+H24*(1+O$17)/($K18-O$17)/(1+$K18)^5.17+SUM($E$38:$E$43))/$E$45*1000</x:f>
        <x:v>188804.80391044737</x:v>
      </x:c>
      <x:c r="P18" s="69" t="n">
        <x:f>(D24/(1+$K18)^D25+E24/(1+$K18)^E25+F24/(1+$K18)^F25+G24/(1+$K18)^G25+H24/(1+$K18)^H25+H24*(1+P$17)/($K18-P$17)/(1+$K18)^5.17+SUM($E$38:$E$43))/$E$45*1000</x:f>
        <x:v>209697.93085800993</x:v>
      </x:c>
      <x:c r="Q18" s="69" t="n">
        <x:f>(D24/(1+$K18)^D25+E24/(1+$K18)^E25+F24/(1+$K18)^F25+G24/(1+$K18)^G25+H24/(1+$K18)^H25+H24*(1+Q$17)/($K18-Q$17)/(1+$K18)^5.17+SUM($E$38:$E$43))/$E$45*1000</x:f>
        <x:v>237019.71225097642</x:v>
      </x:c>
    </x:row>
    <x:row r="19" ht="15" hidden="0" customHeight="1">
      <x:c r="C19" s="2" t="str">
        <x:v>After-tax cost of debt</x:v>
      </x:c>
      <x:c r="D19" s="2" t="str">
        <x:v>%</x:v>
      </x:c>
      <x:c r="E19" s="62" t="n">
        <x:f>E17*(1-E18)</x:f>
        <x:v>0.039525</x:v>
      </x:c>
      <x:c r="F19" s="2" t="str">
        <x:v>Pre-tax cost of debt x (1 - tax rate)</x:v>
      </x:c>
      <x:c r="G19" s="2"/>
      <x:c r="H19" s="2"/>
      <x:c r="I19" s="2"/>
      <x:c r="J19" s="2"/>
      <x:c r="K19" s="62" t="n">
        <x:v>0.0925</x:v>
      </x:c>
      <x:c r="L19" s="69" t="n">
        <x:f>(D24/(1+$K19)^D25+E24/(1+$K19)^E25+F24/(1+$K19)^F25+G24/(1+$K19)^G25+H24/(1+$K19)^H25+H24*(1+L$17)/($K19-L$17)/(1+$K19)^5.17+SUM($E$38:$E$43))/$E$45*1000</x:f>
        <x:v>136411.81884311515</x:v>
      </x:c>
      <x:c r="M19" s="69" t="n">
        <x:f>(D24/(1+$K19)^D25+E24/(1+$K19)^E25+F24/(1+$K19)^F25+G24/(1+$K19)^G25+H24/(1+$K19)^H25+H24*(1+M$17)/($K19-M$17)/(1+$K19)^5.17+SUM($E$38:$E$43))/$E$45*1000</x:f>
        <x:v>145501.913133862</x:v>
      </x:c>
      <x:c r="N19" s="69" t="n">
        <x:f>(D24/(1+$K19)^D25+E24/(1+$K19)^E25+F24/(1+$K19)^F25+G24/(1+$K19)^G25+H24/(1+$K19)^H25+H24*(1+N$17)/($K19-N$17)/(1+$K19)^5.17+SUM($E$38:$E$43))/$E$45*1000</x:f>
        <x:v>156323.45395617958</x:v>
      </x:c>
      <x:c r="O19" s="69" t="n">
        <x:f>(D24/(1+$K19)^D25+E24/(1+$K19)^E25+F24/(1+$K19)^F25+G24/(1+$K19)^G25+H24/(1+$K19)^H25+H24*(1+O$17)/($K19-O$17)/(1+$K19)^5.17+SUM($E$38:$E$43))/$E$45*1000</x:f>
        <x:v>169423.21389898515</x:v>
      </x:c>
      <x:c r="P19" s="69" t="n">
        <x:f>(D24/(1+$K19)^D25+E24/(1+$K19)^E25+F24/(1+$K19)^F25+G24/(1+$K19)^G25+H24/(1+$K19)^H25+H24*(1+P$17)/($K19-P$17)/(1+$K19)^5.17+SUM($E$38:$E$43))/$E$45*1000</x:f>
        <x:v>185605.27029892144</x:v>
      </x:c>
      <x:c r="Q19" s="69" t="n">
        <x:f>(D24/(1+$K19)^D25+E24/(1+$K19)^E25+F24/(1+$K19)^F25+G24/(1+$K19)^G25+H24/(1+$K19)^H25+H24*(1+Q$17)/($K19-Q$17)/(1+$K19)^5.17+SUM($E$38:$E$43))/$E$45*1000</x:f>
        <x:v>206102.54173884075</x:v>
      </x:c>
    </x:row>
    <x:row r="20" ht="15" hidden="0" customHeight="1">
      <x:c r="C20" s="2" t="str">
        <x:v>WACC</x:v>
      </x:c>
      <x:c r="D20" s="2" t="str">
        <x:v>%</x:v>
      </x:c>
      <x:c r="E20" s="62" t="n">
        <x:f>E15*E10+E16*E19</x:f>
        <x:v>0.10227341491296883</x:v>
      </x:c>
      <x:c r="F20" s="2" t="str">
        <x:v>Equity weight x cost of equity + debt weight x after-tax cost of debt</x:v>
      </x:c>
      <x:c r="G20" s="2"/>
      <x:c r="H20" s="2"/>
      <x:c r="I20" s="2"/>
      <x:c r="J20" s="2"/>
      <x:c r="K20" s="62" t="n">
        <x:v>0.0975</x:v>
      </x:c>
      <x:c r="L20" s="69" t="n">
        <x:f>(D24/(1+$K20)^D25+E24/(1+$K20)^E25+F24/(1+$K20)^F25+G24/(1+$K20)^G25+H24/(1+$K20)^H25+H24*(1+L$17)/($K20-L$17)/(1+$K20)^5.17+SUM($E$38:$E$43))/$E$45*1000</x:f>
        <x:v>126615.75585970604</x:v>
      </x:c>
      <x:c r="M20" s="69" t="n">
        <x:f>(D24/(1+$K20)^D25+E24/(1+$K20)^E25+F24/(1+$K20)^F25+G24/(1+$K20)^G25+H24/(1+$K20)^H25+H24*(1+M$17)/($K20-M$17)/(1+$K20)^5.17+SUM($E$38:$E$43))/$E$45*1000</x:f>
        <x:v>134213.12105311238</x:v>
      </x:c>
      <x:c r="N20" s="69" t="n">
        <x:f>(D24/(1+$K20)^D25+E24/(1+$K20)^E25+F24/(1+$K20)^F25+G24/(1+$K20)^G25+H24/(1+$K20)^H25+H24*(1+N$17)/($K20-N$17)/(1+$K20)^5.17+SUM($E$38:$E$43))/$E$45*1000</x:f>
        <x:v>143131.76714971982</x:v>
      </x:c>
      <x:c r="O20" s="69" t="n">
        <x:f>(D24/(1+$K20)^D25+E24/(1+$K20)^E25+F24/(1+$K20)^F25+G24/(1+$K20)^G25+H24/(1+$K20)^H25+H24*(1+O$17)/($K20-O$17)/(1+$K20)^5.17+SUM($E$38:$E$43))/$E$45*1000</x:f>
        <x:v>153749.2029790144</x:v>
      </x:c>
      <x:c r="P20" s="69" t="n">
        <x:f>(D24/(1+$K20)^D25+E24/(1+$K20)^E25+F24/(1+$K20)^F25+G24/(1+$K20)^G25+H24/(1+$K20)^H25+H24*(1+P$17)/($K20-P$17)/(1+$K20)^5.17+SUM($E$38:$E$43))/$E$45*1000</x:f>
        <x:v>166601.88845658148</x:v>
      </x:c>
      <x:c r="Q20" s="69" t="n">
        <x:f>(D24/(1+$K20)^D25+E24/(1+$K20)^E25+F24/(1+$K20)^F25+G24/(1+$K20)^G25+H24/(1+$K20)^H25+H24*(1+Q$17)/($K20-Q$17)/(1+$K20)^5.17+SUM($E$38:$E$43))/$E$45*1000</x:f>
        <x:v>182478.73522298792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62" t="n">
        <x:v>0.1025</x:v>
      </x:c>
      <x:c r="L21" s="69" t="n">
        <x:f>(D24/(1+$K21)^D25+E24/(1+$K21)^E25+F24/(1+$K21)^F25+G24/(1+$K21)^G25+H24/(1+$K21)^H25+H24*(1+L$17)/($K21-L$17)/(1+$K21)^5.17+SUM($E$38:$E$43))/$E$45*1000</x:f>
        <x:v>118182.62979295033</x:v>
      </x:c>
      <x:c r="M21" s="69" t="n">
        <x:f>(D24/(1+$K21)^D25+E24/(1+$K21)^E25+F24/(1+$K21)^F25+G24/(1+$K21)^G25+H24/(1+$K21)^H25+H24*(1+M$17)/($K21-M$17)/(1+$K21)^5.17+SUM($E$38:$E$43))/$E$45*1000</x:f>
        <x:v>124609.10956447318</x:v>
      </x:c>
      <x:c r="N21" s="69" t="n">
        <x:f>(D24/(1+$K21)^D25+E24/(1+$K21)^E25+F24/(1+$K21)^F25+G24/(1+$K21)^G25+H24/(1+$K21)^H25+H24*(1+N$17)/($K21-N$17)/(1+$K21)^5.17+SUM($E$38:$E$43))/$E$45*1000</x:f>
        <x:v>132063.82609943976</x:v>
      </x:c>
      <x:c r="O21" s="69" t="n">
        <x:f>(D24/(1+$K21)^D25+E24/(1+$K21)^E25+F24/(1+$K21)^F25+G24/(1+$K21)^G25+H24/(1+$K21)^H25+H24*(1+O$17)/($K21-O$17)/(1+$K21)^5.17+SUM($E$38:$E$43))/$E$45*1000</x:f>
        <x:v>140815.01507527003</x:v>
      </x:c>
      <x:c r="P21" s="69" t="n">
        <x:f>(D24/(1+$K21)^D25+E24/(1+$K21)^E25+F24/(1+$K21)^F25+G24/(1+$K21)^G25+H24/(1+$K21)^H25+H24*(1+P$17)/($K21-P$17)/(1+$K21)^5.17+SUM($E$38:$E$43))/$E$45*1000</x:f>
        <x:v>151233.0971893537</x:v>
      </x:c>
      <x:c r="Q21" s="69" t="n">
        <x:f>(D24/(1+$K21)^D25+E24/(1+$K21)^E25+F24/(1+$K21)^F25+G24/(1+$K21)^G25+H24/(1+$K21)^H25+H24*(1+Q$17)/($K21-Q$17)/(1+$K21)^5.17+SUM($E$38:$E$43))/$E$45*1000</x:f>
        <x:v>163844.45974850756</x:v>
      </x:c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62" t="n">
        <x:v>0.1075</x:v>
      </x:c>
      <x:c r="L22" s="69" t="n">
        <x:f>(D24/(1+$K22)^D25+E24/(1+$K22)^E25+F24/(1+$K22)^F25+G24/(1+$K22)^G25+H24/(1+$K22)^H25+H24*(1+L$17)/($K22-L$17)/(1+$K22)^5.17+SUM($E$38:$E$43))/$E$45*1000</x:f>
        <x:v>110848.23438797158</x:v>
      </x:c>
      <x:c r="M22" s="69" t="n">
        <x:f>(D24/(1+$K22)^D25+E24/(1+$K22)^E25+F24/(1+$K22)^F25+G24/(1+$K22)^G25+H24/(1+$K22)^H25+H24*(1+M$17)/($K22-M$17)/(1+$K22)^5.17+SUM($E$38:$E$43))/$E$45*1000</x:f>
        <x:v>116340.8675534058</x:v>
      </x:c>
      <x:c r="N22" s="69" t="n">
        <x:f>(D24/(1+$K22)^D25+E24/(1+$K22)^E25+F24/(1+$K22)^F25+G24/(1+$K22)^G25+H24/(1+$K22)^H25+H24*(1+N$17)/($K22-N$17)/(1+$K22)^5.17+SUM($E$38:$E$43))/$E$45*1000</x:f>
        <x:v>122647.22415075623</x:v>
      </x:c>
      <x:c r="O22" s="69" t="n">
        <x:f>(D24/(1+$K22)^D25+E24/(1+$K22)^E25+F24/(1+$K22)^F25+G24/(1+$K22)^G25+H24/(1+$K22)^H25+H24*(1+O$17)/($K22-O$17)/(1+$K22)^5.17+SUM($E$38:$E$43))/$E$45*1000</x:f>
        <x:v>129962.59780368274</x:v>
      </x:c>
      <x:c r="P22" s="69" t="n">
        <x:f>(D24/(1+$K22)^D25+E24/(1+$K22)^E25+F24/(1+$K22)^F25+G24/(1+$K22)^G25+H24/(1+$K22)^H25+H24*(1+P$17)/($K22-P$17)/(1+$K22)^5.17+SUM($E$38:$E$43))/$E$45*1000</x:f>
        <x:v>138550.21035277037</x:v>
      </x:c>
      <x:c r="Q22" s="69" t="n">
        <x:f>(D24/(1+$K22)^D25+E24/(1+$K22)^E25+F24/(1+$K22)^F25+G24/(1+$K22)^G25+H24/(1+$K22)^H25+H24*(1+Q$17)/($K22-Q$17)/(1+$K22)^5.17+SUM($E$38:$E$43))/$E$45*1000</x:f>
        <x:v>148773.55862549366</x:v>
      </x:c>
    </x:row>
    <x:row r="23" ht="15" hidden="0" customHeight="1">
      <x:c r="C23" s="21" t="str">
        <x:v>DCF schedule</x:v>
      </x:c>
      <x:c r="D23" s="22" t="str">
        <x:v>2026E</x:v>
      </x:c>
      <x:c r="E23" s="22" t="str">
        <x:v>2027E</x:v>
      </x:c>
      <x:c r="F23" s="22" t="str">
        <x:v>2028E</x:v>
      </x:c>
      <x:c r="G23" s="22" t="str">
        <x:v>2029E</x:v>
      </x:c>
      <x:c r="H23" s="23" t="str">
        <x:v>2030E</x:v>
      </x:c>
      <x:c r="I23" s="2"/>
      <x:c r="J23" s="2"/>
      <x:c r="K23" s="62" t="n">
        <x:v>0.1125</x:v>
      </x:c>
      <x:c r="L23" s="69" t="n">
        <x:f>(D24/(1+$K23)^D25+E24/(1+$K23)^E25+F24/(1+$K23)^F25+G24/(1+$K23)^G25+H24/(1+$K23)^H25+H24*(1+L$17)/($K23-L$17)/(1+$K23)^5.17+SUM($E$38:$E$43))/$E$45*1000</x:f>
        <x:v>104412.4293700185</x:v>
      </x:c>
      <x:c r="M23" s="69" t="n">
        <x:f>(D24/(1+$K23)^D25+E24/(1+$K23)^E25+F24/(1+$K23)^F25+G24/(1+$K23)^G25+H24/(1+$K23)^H25+H24*(1+M$17)/($K23-M$17)/(1+$K23)^5.17+SUM($E$38:$E$43))/$E$45*1000</x:f>
        <x:v>109149.46820872009</x:v>
      </x:c>
      <x:c r="N23" s="69" t="n">
        <x:f>(D24/(1+$K23)^D25+E24/(1+$K23)^E25+F24/(1+$K23)^F25+G24/(1+$K23)^G25+H24/(1+$K23)^H25+H24*(1+N$17)/($K23-N$17)/(1+$K23)^5.17+SUM($E$38:$E$43))/$E$45*1000</x:f>
        <x:v>114539.8917148288</x:v>
      </x:c>
      <x:c r="O23" s="69" t="n">
        <x:f>(D24/(1+$K23)^D25+E24/(1+$K23)^E25+F24/(1+$K23)^F25+G24/(1+$K23)^G25+H24/(1+$K23)^H25+H24*(1+O$17)/($K23-O$17)/(1+$K23)^5.17+SUM($E$38:$E$43))/$E$45*1000</x:f>
        <x:v>120728.89648110181</x:v>
      </x:c>
      <x:c r="P23" s="69" t="n">
        <x:f>(D24/(1+$K23)^D25+E24/(1+$K23)^E25+F24/(1+$K23)^F25+G24/(1+$K23)^G25+H24/(1+$K23)^H25+H24*(1+P$17)/($K23-P$17)/(1+$K23)^5.17+SUM($E$38:$E$43))/$E$45*1000</x:f>
        <x:v>127908.14200997844</x:v>
      </x:c>
      <x:c r="Q23" s="69" t="n">
        <x:f>(D24/(1+$K23)^D25+E24/(1+$K23)^E25+F24/(1+$K23)^F25+G24/(1+$K23)^G25+H24/(1+$K23)^H25+H24*(1+Q$17)/($K23-Q$17)/(1+$K23)^5.17+SUM($E$38:$E$43))/$E$45*1000</x:f>
        <x:v>136335.95197865972</x:v>
      </x:c>
    </x:row>
    <x:row r="24" ht="15" hidden="0" customHeight="1">
      <x:c r="C24" s="2" t="str">
        <x:v>FCFF</x:v>
      </x:c>
      <x:c r="D24" s="57" t="n">
        <x:f>'FCFF Build'!K28</x:f>
        <x:v>9659.043889280269</x:v>
      </x:c>
      <x:c r="E24" s="57" t="n">
        <x:f>'FCFF Build'!L28</x:f>
        <x:v>11251.033940666077</x:v>
      </x:c>
      <x:c r="F24" s="57" t="n">
        <x:f>'FCFF Build'!M28</x:f>
        <x:v>12860.311825504818</x:v>
      </x:c>
      <x:c r="G24" s="57" t="n">
        <x:f>'FCFF Build'!N28</x:f>
        <x:v>14586.667857646362</x:v>
      </x:c>
      <x:c r="H24" s="57" t="n">
        <x:f>'FCFF Build'!O28</x:f>
        <x:v>16095.616932680354</x:v>
      </x:c>
      <x:c r="I24" s="2"/>
      <x:c r="J24" s="2"/>
      <x:c r="K24" s="62" t="n">
        <x:v>0.1175</x:v>
      </x:c>
      <x:c r="L24" s="69" t="n">
        <x:f>(D24/(1+$K24)^D25+E24/(1+$K24)^E25+F24/(1+$K24)^F25+G24/(1+$K24)^G25+H24/(1+$K24)^H25+H24*(1+L$17)/($K24-L$17)/(1+$K24)^5.17+SUM($E$38:$E$43))/$E$45*1000</x:f>
        <x:v>98720.83519946453</x:v>
      </x:c>
      <x:c r="M24" s="69" t="n">
        <x:f>(D24/(1+$K24)^D25+E24/(1+$K24)^E25+F24/(1+$K24)^F25+G24/(1+$K24)^G25+H24/(1+$K24)^H25+H24*(1+M$17)/($K24-M$17)/(1+$K24)^5.17+SUM($E$38:$E$43))/$E$45*1000</x:f>
        <x:v>102838.77003016321</x:v>
      </x:c>
      <x:c r="N24" s="69" t="n">
        <x:f>(D24/(1+$K24)^D25+E24/(1+$K24)^E25+F24/(1+$K24)^F25+G24/(1+$K24)^G25+H24/(1+$K24)^H25+H24*(1+N$17)/($K24-N$17)/(1+$K24)^5.17+SUM($E$38:$E$43))/$E$45*1000</x:f>
        <x:v>107488.05129062948</x:v>
      </x:c>
      <x:c r="O24" s="69" t="n">
        <x:f>(D24/(1+$K24)^D25+E24/(1+$K24)^E25+F24/(1+$K24)^F25+G24/(1+$K24)^G25+H24/(1+$K24)^H25+H24*(1+O$17)/($K24-O$17)/(1+$K24)^5.17+SUM($E$38:$E$43))/$E$45*1000</x:f>
        <x:v>112778.61272495314</x:v>
      </x:c>
      <x:c r="P24" s="69" t="n">
        <x:f>(D24/(1+$K24)^D25+E24/(1+$K24)^E25+F24/(1+$K24)^F25+G24/(1+$K24)^G25+H24/(1+$K24)^H25+H24*(1+P$17)/($K24-P$17)/(1+$K24)^5.17+SUM($E$38:$E$43))/$E$45*1000</x:f>
        <x:v>118852.96103843591</x:v>
      </x:c>
      <x:c r="Q24" s="69" t="n">
        <x:f>(D24/(1+$K24)^D25+E24/(1+$K24)^E25+F24/(1+$K24)^F25+G24/(1+$K24)^G25+H24/(1+$K24)^H25+H24*(1+Q$17)/($K24-Q$17)/(1+$K24)^5.17+SUM($E$38:$E$43))/$E$45*1000</x:f>
        <x:v>125899.2050820759</x:v>
      </x:c>
    </x:row>
    <x:row r="25" ht="15" hidden="0" customHeight="1">
      <x:c r="C25" s="2" t="str">
        <x:v>Discount timing (years)</x:v>
      </x:c>
      <x:c r="D25" s="67" t="n">
        <x:v>0.67</x:v>
      </x:c>
      <x:c r="E25" s="67" t="n">
        <x:v>1.67</x:v>
      </x:c>
      <x:c r="F25" s="67" t="n">
        <x:v>2.67</x:v>
      </x:c>
      <x:c r="G25" s="67" t="n">
        <x:v>3.67</x:v>
      </x:c>
      <x:c r="H25" s="67" t="n">
        <x:v>4.67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C26" s="2" t="str">
        <x:v>Discount factor</x:v>
      </x:c>
      <x:c r="D26" s="68" t="n">
        <x:f>1/(1+$E$20)^D25</x:f>
        <x:v>0.9368415562736778</x:v>
      </x:c>
      <x:c r="E26" s="68" t="n">
        <x:f>1/(1+$E$20)^E25</x:f>
        <x:v>0.8499175826967097</x:v>
      </x:c>
      <x:c r="F26" s="68" t="n">
        <x:f>1/(1+$E$20)^F25</x:f>
        <x:v>0.7710587692653512</x:v>
      </x:c>
      <x:c r="G26" s="68" t="n">
        <x:f>1/(1+$E$20)^G25</x:f>
        <x:v>0.6995167975871313</x:v>
      </x:c>
      <x:c r="H26" s="68" t="n">
        <x:f>1/(1+$E$20)^H25</x:f>
        <x:v>0.6346127812965192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C27" s="2" t="str">
        <x:v>Present value of FCFF</x:v>
      </x:c>
      <x:c r="D27" s="53" t="n">
        <x:f>D24*D26</x:f>
        <x:v>9048.993709349084</x:v>
      </x:c>
      <x:c r="E27" s="53" t="n">
        <x:f>E24*E26</x:f>
        <x:v>9562.451569689549</x:v>
      </x:c>
      <x:c r="F27" s="53" t="n">
        <x:f>F24*F26</x:f>
        <x:v>9916.056208542386</x:v>
      </x:c>
      <x:c r="G27" s="53" t="n">
        <x:f>G24*G26</x:f>
        <x:v>10203.619187247923</x:v>
      </x:c>
      <x:c r="H27" s="53" t="n">
        <x:f>H24*H26</x:f>
        <x:v>10214.484228331628</x:v>
      </x:c>
      <x:c r="I27" s="2"/>
      <x:c r="J27" s="2"/>
      <x:c r="K27" s="21" t="str">
        <x:v>Diagnostic</x:v>
      </x:c>
      <x:c r="L27" s="22" t="str">
        <x:v>Unit</x:v>
      </x:c>
      <x:c r="M27" s="22" t="str">
        <x:v>Value</x:v>
      </x:c>
      <x:c r="N27" s="23" t="str">
        <x:v>Comment</x:v>
      </x:c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 t="str">
        <x:v>Terminal value / enterprise value</x:v>
      </x:c>
      <x:c r="L28" s="2" t="str">
        <x:v>%</x:v>
      </x:c>
      <x:c r="M28" s="49" t="n">
        <x:f>E32/E34</x:f>
        <x:v>0.7684983025557585</x:v>
      </x:c>
      <x:c r="N28" s="2" t="str">
        <x:v>High ratios require close review of WACC and terminal growth</x:v>
      </x:c>
      <x:c r="O28" s="2"/>
      <x:c r="P28" s="2"/>
      <x:c r="Q28" s="2"/>
    </x:row>
    <x:row r="29" ht="15" hidden="0" customHeight="1">
      <x:c r="C29" s="21" t="str">
        <x:v>Terminal value and enterprise value</x:v>
      </x:c>
      <x:c r="D29" s="22" t="str">
        <x:v>Unit</x:v>
      </x:c>
      <x:c r="E29" s="23" t="str">
        <x:v>Value</x:v>
      </x:c>
      <x:c r="F29" s="2"/>
      <x:c r="G29" s="2"/>
      <x:c r="H29" s="2"/>
      <x:c r="I29" s="2"/>
      <x:c r="J29" s="2"/>
      <x:c r="K29" s="2" t="str">
        <x:v>Explicit forecast horizon</x:v>
      </x:c>
      <x:c r="L29" s="2" t="str">
        <x:v>years</x:v>
      </x:c>
      <x:c r="M29" s="2" t="n">
        <x:f>5</x:f>
        <x:v>5</x:v>
      </x:c>
      <x:c r="N29" s="2" t="str">
        <x:v>FY2026-FY2030</x:v>
      </x:c>
      <x:c r="O29" s="2"/>
      <x:c r="P29" s="2"/>
      <x:c r="Q29" s="2"/>
    </x:row>
    <x:row r="30" ht="15" hidden="0" customHeight="1">
      <x:c r="C30" s="2" t="str">
        <x:v>Terminal growth rate</x:v>
      </x:c>
      <x:c r="D30" s="2" t="str">
        <x:v>%</x:v>
      </x:c>
      <x:c r="E30" s="49" t="n">
        <x:f>'Assumptions'!E66</x:f>
        <x:v>0.04</x:v>
      </x:c>
      <x:c r="F30" s="2"/>
      <x:c r="G30" s="2"/>
      <x:c r="H30" s="2"/>
      <x:c r="I30" s="2"/>
      <x:c r="J30" s="2"/>
      <x:c r="K30" s="2" t="str">
        <x:v>Forecast starts</x:v>
      </x:c>
      <x:c r="L30" s="2" t="str">
        <x:v>Year</x:v>
      </x:c>
      <x:c r="M30" s="2" t="n">
        <x:f>2026</x:f>
        <x:v>2026</x:v>
      </x:c>
      <x:c r="N30" s="2" t="str">
        <x:v>FY2025 is retained as an operating anchor only</x:v>
      </x:c>
      <x:c r="O30" s="2"/>
      <x:c r="P30" s="2"/>
      <x:c r="Q30" s="2"/>
    </x:row>
    <x:row r="31" ht="15" hidden="0" customHeight="1">
      <x:c r="C31" s="2" t="str">
        <x:v>Terminal value at 31-Dec-2030</x:v>
      </x:c>
      <x:c r="D31" s="2" t="str">
        <x:v>VND bn</x:v>
      </x:c>
      <x:c r="E31" s="53" t="n">
        <x:f>H24*(1+E30)/($E$20-E30)</x:f>
        <x:v>268805.58314301586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C32" s="2" t="str">
        <x:v>Present value of terminal value</x:v>
      </x:c>
      <x:c r="D32" s="2" t="str">
        <x:v>VND bn</x:v>
      </x:c>
      <x:c r="E32" s="53" t="n">
        <x:f>E31/(1+$E$20)^5.17</x:f>
        <x:v>162480.94377236004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hidden="0" customHeight="1">
      <x:c r="C33" s="2" t="str">
        <x:v>Present value of explicit FCFF</x:v>
      </x:c>
      <x:c r="D33" s="2" t="str">
        <x:v>VND bn</x:v>
      </x:c>
      <x:c r="E33" s="53" t="n">
        <x:f>SUM(D27:H27)</x:f>
        <x:v>48945.60490316058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hidden="0" customHeight="1">
      <x:c r="C34" s="58" t="str">
        <x:v>Enterprise value</x:v>
      </x:c>
      <x:c r="D34" s="58" t="str">
        <x:v>VND bn</x:v>
      </x:c>
      <x:c r="E34" s="59" t="n">
        <x:f>E32+E33</x:f>
        <x:v>211426.54867552064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hidden="0" customHeight="1">
      <x:c r="C36" s="21" t="str">
        <x:v>Enterprise-to-equity bridge</x:v>
      </x:c>
      <x:c r="D36" s="22" t="str">
        <x:v>Unit</x:v>
      </x:c>
      <x:c r="E36" s="23" t="str">
        <x:v>Value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hidden="0" customHeight="1">
      <x:c r="C37" s="2" t="str">
        <x:v>Enterprise value</x:v>
      </x:c>
      <x:c r="D37" s="2" t="str">
        <x:v>VND bn</x:v>
      </x:c>
      <x:c r="E37" s="53" t="n">
        <x:f>E34</x:f>
        <x:v>211426.54867552064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hidden="0" customHeight="1">
      <x:c r="C38" s="2" t="str">
        <x:v>Add: cash and cash equivalents</x:v>
      </x:c>
      <x:c r="D38" s="2" t="str">
        <x:v>VND bn</x:v>
      </x:c>
      <x:c r="E38" s="53" t="n">
        <x:f>'Q3 Balance'!E6*'Assumptions'!E67</x:f>
        <x:v>9853.51273137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hidden="0" customHeight="1">
      <x:c r="C39" s="2" t="str">
        <x:v>Add: short-term investments</x:v>
      </x:c>
      <x:c r="D39" s="2" t="str">
        <x:v>VND bn</x:v>
      </x:c>
      <x:c r="E39" s="53" t="n">
        <x:f>'Q3 Balance'!E7*'Assumptions'!E68</x:f>
        <x:v>27125.585559832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hidden="0" customHeight="1">
      <x:c r="C40" s="2" t="str">
        <x:v>Add: associates and joint ventures</x:v>
      </x:c>
      <x:c r="D40" s="2" t="str">
        <x:v>VND bn</x:v>
      </x:c>
      <x:c r="E40" s="53" t="n">
        <x:f>'Q3 Balance'!E8*'Assumptions'!E69</x:f>
        <x:v>2925.769962921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hidden="0" customHeight="1">
      <x:c r="C41" s="2" t="str">
        <x:v>Add: net other financial investments</x:v>
      </x:c>
      <x:c r="D41" s="2" t="str">
        <x:v>VND bn</x:v>
      </x:c>
      <x:c r="E41" s="53" t="n">
        <x:f>('Q3 Balance'!E9+'Q3 Balance'!E10)*'Assumptions'!E69</x:f>
        <x:v>1056.2124131169999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hidden="0" customHeight="1">
      <x:c r="C42" s="2" t="str">
        <x:v>Less: reported debt</x:v>
      </x:c>
      <x:c r="D42" s="2" t="str">
        <x:v>VND bn</x:v>
      </x:c>
      <x:c r="E42" s="53" t="n">
        <x:f>-E11</x:f>
        <x:v>-19587.852526968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hidden="0" customHeight="1">
      <x:c r="C43" s="2" t="str">
        <x:v>Less: non-controlling interests</x:v>
      </x:c>
      <x:c r="D43" s="2" t="str">
        <x:v>VND bn</x:v>
      </x:c>
      <x:c r="E43" s="53" t="n">
        <x:f>-'Q3 Balance'!E13</x:f>
        <x:v>-7039.652215035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hidden="0" customHeight="1">
      <x:c r="C44" s="58" t="str">
        <x:v>Equity value</x:v>
      </x:c>
      <x:c r="D44" s="58" t="str">
        <x:v>VND bn</x:v>
      </x:c>
      <x:c r="E44" s="59" t="n">
        <x:f>SUM(E37:E43)</x:f>
        <x:v>225760.12460075764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hidden="0" customHeight="1">
      <x:c r="C45" s="2" t="str">
        <x:v>Shares outstanding</x:v>
      </x:c>
      <x:c r="D45" s="2" t="str">
        <x:v>million</x:v>
      </x:c>
      <x:c r="E45" s="53" t="n">
        <x:f>E13</x:f>
        <x:v>1703.507121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hidden="0" customHeight="1">
      <x:c r="C46" s="70" t="str">
        <x:v>DCF value per share</x:v>
      </x:c>
      <x:c r="D46" s="70" t="str">
        <x:v>VND / share</x:v>
      </x:c>
      <x:c r="E46" s="71" t="n">
        <x:f>E44/E45*1000</x:f>
        <x:v>132526.66913903534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hidden="0" customHeight="1">
      <x:c r="C47" s="70" t="str">
        <x:v>Market price</x:v>
      </x:c>
      <x:c r="D47" s="70" t="str">
        <x:v>VND / share</x:v>
      </x:c>
      <x:c r="E47" s="71" t="n">
        <x:f>E12</x:f>
        <x:v>102830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hidden="0" customHeight="1">
      <x:c r="C48" s="70" t="str">
        <x:v>DCF price gap</x:v>
      </x:c>
      <x:c r="D48" s="70" t="str">
        <x:v>%</x:v>
      </x:c>
      <x:c r="E48" s="72" t="n">
        <x:f>E46/E47-1</x:f>
        <x:v>0.2887938261114007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hidden="0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hidden="0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/>
    <x:row r="54"/>
    <x:row r="55"/>
    <x:row r="56"/>
    <x:row r="57"/>
    <x:row r="58"/>
    <x:row r="59"/>
    <x:row r="60"/>
  </x:sheetData>
  <x:mergeCells>
    <x:mergeCell ref="K16:Q16"/>
  </x:mergeCells>
  <x:conditionalFormatting sqref="L18:Q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30" topLeftCell="E31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16" hidden="0" customWidth="1"/>
    <x:col min="6" max="6" width="44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2" ht="18" hidden="0" customHeight="1">
      <x:c r="C2" s="3" t="str">
        <x:v>FPT comparable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15" hidden="0" customHeight="1">
      <x:c r="C3" s="4" t="str">
        <x:v>Point-in-time cross-check using peer data available by 31-Oct-2025. P/E is applied to model-derived FY2026E parent earnings.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</x:row>
    <x:row r="5" ht="15" hidden="0" customHeight="1">
      <x:c r="C5" s="21" t="str">
        <x:v>Valuation summary</x:v>
      </x:c>
      <x:c r="D5" s="22" t="str">
        <x:v>Unit</x:v>
      </x:c>
      <x:c r="E5" s="22" t="str">
        <x:v>Value</x:v>
      </x:c>
      <x:c r="F5" s="23" t="str">
        <x:v>Comment</x:v>
      </x:c>
      <x:c r="G5" s="2"/>
      <x:c r="H5" s="21" t="str">
        <x:v>Method</x:v>
      </x:c>
      <x:c r="I5" s="22" t="str">
        <x:v>Low</x:v>
      </x:c>
      <x:c r="J5" s="22" t="str">
        <x:v>Base</x:v>
      </x:c>
      <x:c r="K5" s="23" t="str">
        <x:v>High</x:v>
      </x:c>
      <x:c r="L5" s="2"/>
      <x:c r="M5" s="2"/>
      <x:c r="N5" s="2"/>
      <x:c r="O5" s="2"/>
      <x:c r="P5" s="2"/>
      <x:c r="Q5" s="2"/>
      <x:c r="R5" s="2"/>
      <x:c r="S5" s="2"/>
      <x:c r="T5" s="2"/>
    </x:row>
    <x:row r="6" ht="15" hidden="0" customHeight="1">
      <x:c r="C6" s="2" t="str">
        <x:v>Market price</x:v>
      </x:c>
      <x:c r="D6" s="2" t="str">
        <x:v>VND / share</x:v>
      </x:c>
      <x:c r="E6" s="69" t="n">
        <x:f>'Valuation'!E47</x:f>
        <x:v>102830</x:v>
      </x:c>
      <x:c r="F6" s="47" t="str">
        <x:v>31-Oct-2025 close</x:v>
      </x:c>
      <x:c r="G6" s="2"/>
      <x:c r="H6" s="2" t="str">
        <x:v>DCF</x:v>
      </x:c>
      <x:c r="I6" s="69" t="n">
        <x:f>'Valuation'!M22</x:f>
        <x:v>116340.8675534058</x:v>
      </x:c>
      <x:c r="J6" s="69" t="n">
        <x:f>'Valuation'!E46</x:f>
        <x:v>132526.66913903534</x:v>
      </x:c>
      <x:c r="K6" s="69" t="n">
        <x:f>'Valuation'!O20</x:f>
        <x:v>153749.2029790144</x:v>
      </x:c>
      <x:c r="L6" s="2"/>
      <x:c r="M6" s="2"/>
      <x:c r="N6" s="2"/>
      <x:c r="O6" s="2"/>
      <x:c r="P6" s="2"/>
      <x:c r="Q6" s="2"/>
      <x:c r="R6" s="2"/>
      <x:c r="S6" s="2"/>
      <x:c r="T6" s="2"/>
    </x:row>
    <x:row r="7" ht="15" hidden="0" customHeight="1">
      <x:c r="C7" s="70" t="str">
        <x:v>DCF value per share</x:v>
      </x:c>
      <x:c r="D7" s="70" t="str">
        <x:v>VND / share</x:v>
      </x:c>
      <x:c r="E7" s="71" t="n">
        <x:f>'Valuation'!E46</x:f>
        <x:v>132526.66913903534</x:v>
      </x:c>
      <x:c r="F7" s="74" t="str">
        <x:v>Primary intrinsic-value method</x:v>
      </x:c>
      <x:c r="G7" s="2"/>
      <x:c r="H7" s="2" t="str">
        <x:v>P/E comparables</x:v>
      </x:c>
      <x:c r="I7" s="69" t="n">
        <x:f>$E$25*'Assumptions'!E79</x:f>
        <x:v>98496.44277708602</x:v>
      </x:c>
      <x:c r="J7" s="69" t="n">
        <x:f>$E$25*$E$12</x:f>
        <x:v>116754.33871307815</x:v>
      </x:c>
      <x:c r="K7" s="69" t="n">
        <x:f>$E$25*$L$21</x:f>
        <x:v>122899.30390850332</x:v>
      </x:c>
      <x:c r="L7" s="2"/>
      <x:c r="M7" s="2"/>
      <x:c r="N7" s="2"/>
      <x:c r="O7" s="2"/>
      <x:c r="P7" s="2"/>
      <x:c r="Q7" s="2"/>
      <x:c r="R7" s="2"/>
      <x:c r="S7" s="2"/>
      <x:c r="T7" s="2"/>
    </x:row>
    <x:row r="8" ht="15" hidden="0" customHeight="1">
      <x:c r="C8" s="70" t="str">
        <x:v>Comparable value per share</x:v>
      </x:c>
      <x:c r="D8" s="70" t="str">
        <x:v>VND / share</x:v>
      </x:c>
      <x:c r="E8" s="71" t="n">
        <x:f>J7</x:f>
        <x:v>116754.33871307815</x:v>
      </x:c>
      <x:c r="F8" s="74" t="str">
        <x:v>Segment-mix peer median after the disclosed adjustment</x:v>
      </x:c>
      <x:c r="G8" s="2"/>
      <x:c r="H8" s="77" t="str">
        <x:v>Blended</x:v>
      </x:c>
      <x:c r="I8" s="78" t="n">
        <x:f>I6*'Assumptions'!E76+I7*'Assumptions'!E77</x:f>
        <x:v>109203.0976428779</x:v>
      </x:c>
      <x:c r="J8" s="78" t="n">
        <x:f>J6*'Assumptions'!E76+J7*'Assumptions'!E77</x:f>
        <x:v>126217.73696865246</x:v>
      </x:c>
      <x:c r="K8" s="78" t="n">
        <x:f>K6*'Assumptions'!E76+K7*'Assumptions'!E77</x:f>
        <x:v>141409.24335080996</x:v>
      </x:c>
      <x:c r="L8" s="2"/>
      <x:c r="M8" s="2"/>
      <x:c r="N8" s="2"/>
      <x:c r="O8" s="2"/>
      <x:c r="P8" s="2"/>
      <x:c r="Q8" s="2"/>
      <x:c r="R8" s="2"/>
      <x:c r="S8" s="2"/>
      <x:c r="T8" s="2"/>
    </x:row>
    <x:row r="9" ht="15" hidden="0" customHeight="1">
      <x:c r="C9" s="70" t="str">
        <x:v>Blended value per share</x:v>
      </x:c>
      <x:c r="D9" s="70" t="str">
        <x:v>VND / share</x:v>
      </x:c>
      <x:c r="E9" s="71" t="n">
        <x:f>J8</x:f>
        <x:v>126217.73696865246</x:v>
      </x:c>
      <x:c r="F9" s="74" t="str">
        <x:v>DCF and comparable values weighted in Assumptions</x:v>
      </x:c>
      <x:c r="G9" s="2"/>
      <x:c r="H9" s="2" t="str">
        <x:v>Market price</x:v>
      </x:c>
      <x:c r="I9" s="69" t="n">
        <x:f>$E$6</x:f>
        <x:v>102830</x:v>
      </x:c>
      <x:c r="J9" s="69" t="n">
        <x:f>$E$6</x:f>
        <x:v>102830</x:v>
      </x:c>
      <x:c r="K9" s="69" t="n">
        <x:f>$E$6</x:f>
        <x:v>102830</x:v>
      </x:c>
      <x:c r="L9" s="2"/>
      <x:c r="M9" s="2"/>
      <x:c r="N9" s="2"/>
      <x:c r="O9" s="2"/>
      <x:c r="P9" s="2"/>
      <x:c r="Q9" s="2"/>
      <x:c r="R9" s="2"/>
      <x:c r="S9" s="2"/>
      <x:c r="T9" s="2"/>
    </x:row>
    <x:row r="10" ht="15" hidden="0" customHeight="1">
      <x:c r="C10" s="70" t="str">
        <x:v>Blended price gap</x:v>
      </x:c>
      <x:c r="D10" s="70" t="str">
        <x:v>%</x:v>
      </x:c>
      <x:c r="E10" s="72" t="n">
        <x:f>E9/E6-1</x:f>
        <x:v>0.22744079518284988</x:v>
      </x:c>
      <x:c r="F10" s="74" t="str">
        <x:v>Blended value relative to the market price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15" hidden="0" customHeight="1">
      <x:c r="C11" s="2" t="str">
        <x:v>FY2026E EPS</x:v>
      </x:c>
      <x:c r="D11" s="2" t="str">
        <x:v>VND / share</x:v>
      </x:c>
      <x:c r="E11" s="69" t="n">
        <x:f>E25</x:f>
        <x:v>5793.908398652119</x:v>
      </x:c>
      <x:c r="F11" s="47" t="str">
        <x:v>Model forecast; not broker consensus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15" hidden="0" customHeight="1">
      <x:c r="C12" s="2" t="str">
        <x:v>Applied 2026F P/E</x:v>
      </x:c>
      <x:c r="D12" s="2" t="str">
        <x:v>x</x:v>
      </x:c>
      <x:c r="E12" s="50" t="n">
        <x:f>L21*(1+'Assumptions'!E78)</x:f>
        <x:v>20.151222746331232</x:v>
      </x:c>
      <x:c r="F12" s="47" t="str">
        <x:v>Peer mix median after the group adjustment</x:v>
      </x:c>
      <x:c r="G12" s="2"/>
      <x:c r="H12" s="21" t="str">
        <x:v>Broker cross-check</x:v>
      </x:c>
      <x:c r="I12" s="22" t="str">
        <x:v>Report date</x:v>
      </x:c>
      <x:c r="J12" s="22" t="str">
        <x:v>Target price</x:v>
      </x:c>
      <x:c r="K12" s="23" t="str">
        <x:v>Context</x:v>
      </x:c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15" hidden="0" customHeight="1">
      <x:c r="C13" s="2"/>
      <x:c r="D13" s="2"/>
      <x:c r="E13" s="2"/>
      <x:c r="F13" s="2"/>
      <x:c r="G13" s="2"/>
      <x:c r="H13" s="2" t="str">
        <x:v>Vietcap</x:v>
      </x:c>
      <x:c r="I13" s="41" t="n">
        <x:v>45952</x:v>
      </x:c>
      <x:c r="J13" s="69" t="n">
        <x:v>116600</x:v>
      </x:c>
      <x:c r="K13" s="55" t="str">
        <x:v>BUY; point-in-time peer set and forecast table</x:v>
      </x:c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5" hidden="0" customHeight="1">
      <x:c r="C14" s="2"/>
      <x:c r="D14" s="2"/>
      <x:c r="E14" s="2"/>
      <x:c r="F14" s="2"/>
      <x:c r="G14" s="2"/>
      <x:c r="H14" s="2" t="str">
        <x:v>KBSV</x:v>
      </x:c>
      <x:c r="I14" s="41" t="n">
        <x:v>45911</x:v>
      </x:c>
      <x:c r="J14" s="69" t="n">
        <x:v>123100</x:v>
      </x:c>
      <x:c r="K14" s="55" t="str">
        <x:v>50% DCF / 50% P/E; 21.0x 2026F P/E</x:v>
      </x:c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5" hidden="0" customHeight="1">
      <x:c r="C15" s="2"/>
      <x:c r="D15" s="2"/>
      <x:c r="E15" s="2"/>
      <x:c r="F15" s="2"/>
      <x:c r="G15" s="2"/>
      <x:c r="H15" s="2" t="str">
        <x:v>ACBS</x:v>
      </x:c>
      <x:c r="I15" s="41" t="n">
        <x:v>45958</x:v>
      </x:c>
      <x:c r="J15" s="69" t="n">
        <x:v>122400</x:v>
      </x:c>
      <x:c r="K15" s="55" t="str">
        <x:v>BUY; 1H2026 target</x:v>
      </x:c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5" hidden="0" customHeight="1">
      <x:c r="C16" s="21" t="str">
        <x:v>FY2026E earnings bridge</x:v>
      </x:c>
      <x:c r="D16" s="22" t="str">
        <x:v>Unit</x:v>
      </x:c>
      <x:c r="E16" s="22" t="str">
        <x:v>Value</x:v>
      </x:c>
      <x:c r="F16" s="23" t="str">
        <x:v>Calculation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5" hidden="0" customHeight="1">
      <x:c r="C17" s="2" t="str">
        <x:v>EBIT before financial items</x:v>
      </x:c>
      <x:c r="D17" s="2" t="str">
        <x:v>VND bn</x:v>
      </x:c>
      <x:c r="E17" s="53" t="n">
        <x:f>'FCFF Build'!K9</x:f>
        <x:v>13300.280240407437</x:v>
      </x:c>
      <x:c r="F17" s="47" t="str">
        <x:v>Selected-case forecast</x:v>
      </x:c>
      <x:c r="G17" s="2"/>
      <x:c r="H17" s="21" t="str">
        <x:v>Segment</x:v>
      </x:c>
      <x:c r="I17" s="22" t="str">
        <x:v>9M2025 PBT</x:v>
      </x:c>
      <x:c r="J17" s="22" t="str">
        <x:v>PBT weight</x:v>
      </x:c>
      <x:c r="K17" s="22" t="str">
        <x:v>2026F peer P/E</x:v>
      </x:c>
      <x:c r="L17" s="23" t="str">
        <x:v>Weighted P/E</x:v>
      </x:c>
      <x:c r="M17" s="2"/>
      <x:c r="N17" s="2"/>
      <x:c r="O17" s="2"/>
      <x:c r="P17" s="2"/>
      <x:c r="Q17" s="2"/>
      <x:c r="R17" s="2"/>
      <x:c r="S17" s="2"/>
      <x:c r="T17" s="2"/>
    </x:row>
    <x:row r="18" ht="15" hidden="0" customHeight="1">
      <x:c r="C18" s="2" t="str">
        <x:v>PBT / EBIT calibration</x:v>
      </x:c>
      <x:c r="D18" s="2" t="str">
        <x:v>x</x:v>
      </x:c>
      <x:c r="E18" s="68" t="n">
        <x:f>'Annual Actuals'!I9/'FCFF Build'!I9</x:f>
        <x:v>1.0534164500483039</x:v>
      </x:c>
      <x:c r="F18" s="47" t="str">
        <x:v>FY2024 reported PBT divided by FY2024 EBIT before financial items</x:v>
      </x:c>
      <x:c r="G18" s="2"/>
      <x:c r="H18" s="2" t="str">
        <x:v>Technology</x:v>
      </x:c>
      <x:c r="I18" s="82" t="n">
        <x:f>SUMIFS('9M25 Operating'!$F$6:$F$80,'9M25 Operating'!$D$6:$D$80,"profit_before_tax",'9M25 Operating'!$E$6:$E$80,"technology_sector")</x:f>
        <x:v>4333</x:v>
      </x:c>
      <x:c r="J18" s="49" t="n">
        <x:f>I18/$I$21</x:f>
        <x:v>0.4541928721174004</x:v>
      </x:c>
      <x:c r="K18" s="50" t="n">
        <x:f>MEDIAN(K31:K42)</x:f>
        <x:v>26.6</x:v>
      </x:c>
      <x:c r="L18" s="50" t="n">
        <x:f>J18*K18</x:f>
        <x:v>12.081530398322851</x:v>
      </x:c>
      <x:c r="M18" s="2"/>
      <x:c r="N18" s="2"/>
      <x:c r="O18" s="2"/>
      <x:c r="P18" s="2"/>
      <x:c r="Q18" s="2"/>
      <x:c r="R18" s="2"/>
      <x:c r="S18" s="2"/>
      <x:c r="T18" s="2"/>
    </x:row>
    <x:row r="19" ht="15" hidden="0" customHeight="1">
      <x:c r="C19" s="2" t="str">
        <x:v>Profit before tax</x:v>
      </x:c>
      <x:c r="D19" s="2" t="str">
        <x:v>VND bn</x:v>
      </x:c>
      <x:c r="E19" s="53" t="n">
        <x:f>E17*E18</x:f>
        <x:v>14010.733995497603</x:v>
      </x:c>
      <x:c r="F19" s="47" t="str">
        <x:v>EBIT multiplied by the historical PBT / EBIT calibration</x:v>
      </x:c>
      <x:c r="G19" s="2"/>
      <x:c r="H19" s="2" t="str">
        <x:v>Telecom</x:v>
      </x:c>
      <x:c r="I19" s="82" t="n">
        <x:f>SUMIFS('9M25 Operating'!$F$6:$F$80,'9M25 Operating'!$D$6:$D$80,"profit_before_tax",'9M25 Operating'!$E$6:$E$80,"telecommunications_sector")</x:f>
        <x:v>3228</x:v>
      </x:c>
      <x:c r="J19" s="49" t="n">
        <x:f>I19/$I$21</x:f>
        <x:v>0.3383647798742138</x:v>
      </x:c>
      <x:c r="K19" s="50" t="n">
        <x:f>MEDIAN(K43:K51)</x:f>
        <x:v>16.5</x:v>
      </x:c>
      <x:c r="L19" s="50" t="n">
        <x:f>J19*K19</x:f>
        <x:v>5.583018867924528</x:v>
      </x:c>
      <x:c r="M19" s="2"/>
      <x:c r="N19" s="2"/>
      <x:c r="O19" s="2"/>
      <x:c r="P19" s="2"/>
      <x:c r="Q19" s="2"/>
      <x:c r="R19" s="2"/>
      <x:c r="S19" s="2"/>
      <x:c r="T19" s="2"/>
    </x:row>
    <x:row r="20" ht="15" hidden="0" customHeight="1">
      <x:c r="C20" s="2" t="str">
        <x:v>Tax rate</x:v>
      </x:c>
      <x:c r="D20" s="2" t="str">
        <x:v>%</x:v>
      </x:c>
      <x:c r="E20" s="49" t="n">
        <x:f>'Assumptions'!F38</x:f>
        <x:v>0.155</x:v>
      </x:c>
      <x:c r="F20" s="47" t="str">
        <x:v>Selected-case FY2026 tax assumption</x:v>
      </x:c>
      <x:c r="G20" s="2"/>
      <x:c r="H20" s="2" t="str">
        <x:v>Education, investment and other</x:v>
      </x:c>
      <x:c r="I20" s="82" t="n">
        <x:f>SUMIFS('9M25 Operating'!$F$6:$F$80,'9M25 Operating'!$D$6:$D$80,"profit_before_tax",'9M25 Operating'!$E$6:$E$80,"education_investment_other")</x:f>
        <x:v>1979</x:v>
      </x:c>
      <x:c r="J20" s="49" t="n">
        <x:f>I20/$I$21</x:f>
        <x:v>0.20744234800838574</x:v>
      </x:c>
      <x:c r="K20" s="50" t="n">
        <x:f>MEDIAN(K52:K60)</x:f>
        <x:v>17.1</x:v>
      </x:c>
      <x:c r="L20" s="50" t="n">
        <x:f>J20*K20</x:f>
        <x:v>3.547264150943396</x:v>
      </x:c>
      <x:c r="M20" s="2"/>
      <x:c r="N20" s="2"/>
      <x:c r="O20" s="2"/>
      <x:c r="P20" s="2"/>
      <x:c r="Q20" s="2"/>
      <x:c r="R20" s="2"/>
      <x:c r="S20" s="2"/>
      <x:c r="T20" s="2"/>
    </x:row>
    <x:row r="21" ht="15" hidden="0" customHeight="1">
      <x:c r="C21" s="2" t="str">
        <x:v>Profit after tax</x:v>
      </x:c>
      <x:c r="D21" s="2" t="str">
        <x:v>VND bn</x:v>
      </x:c>
      <x:c r="E21" s="49" t="n">
        <x:f>E19*(1-E20)</x:f>
        <x:v>11839.070226195474</x:v>
      </x:c>
      <x:c r="F21" s="47" t="str">
        <x:v>PBT after tax</x:v>
      </x:c>
      <x:c r="G21" s="2"/>
      <x:c r="H21" s="77" t="str">
        <x:v>Mix-adjusted median</x:v>
      </x:c>
      <x:c r="I21" s="89" t="n">
        <x:f>SUM(I18:I20)</x:f>
        <x:v>9540</x:v>
      </x:c>
      <x:c r="J21" s="90" t="n">
        <x:f>SUM(J18:J20)</x:f>
        <x:v>1</x:v>
      </x:c>
      <x:c r="K21" s="91"/>
      <x:c r="L21" s="91" t="n">
        <x:f>SUM(L18:L20)</x:f>
        <x:v>21.211813417190772</x:v>
      </x:c>
      <x:c r="M21" s="2"/>
      <x:c r="N21" s="2"/>
      <x:c r="O21" s="2"/>
      <x:c r="P21" s="2"/>
      <x:c r="Q21" s="2"/>
      <x:c r="R21" s="2"/>
      <x:c r="S21" s="2"/>
      <x:c r="T21" s="2"/>
    </x:row>
    <x:row r="22" ht="15" hidden="0" customHeight="1">
      <x:c r="C22" s="2" t="str">
        <x:v>Parent share of PAT</x:v>
      </x:c>
      <x:c r="D22" s="2" t="str">
        <x:v>%</x:v>
      </x:c>
      <x:c r="E22" s="49" t="n">
        <x:f>'9M25 Operating'!F9/'9M25 Operating'!F8</x:f>
        <x:v>0.8336773097001335</x:v>
      </x:c>
      <x:c r="F22" s="47" t="str">
        <x:v>9M2025 parent PAT divided by group PAT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5" hidden="0" customHeight="1">
      <x:c r="C23" s="2" t="str">
        <x:v>Parent profit after tax</x:v>
      </x:c>
      <x:c r="D23" s="2" t="str">
        <x:v>VND bn</x:v>
      </x:c>
      <x:c r="E23" s="53" t="n">
        <x:f>E21*E22</x:f>
        <x:v>9869.964215525593</x:v>
      </x:c>
      <x:c r="F23" s="47" t="str">
        <x:v>PAT multiplied by the parent share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5" hidden="0" customHeight="1">
      <x:c r="C24" s="2" t="str">
        <x:v>Shares outstanding</x:v>
      </x:c>
      <x:c r="D24" s="2" t="str">
        <x:v>million</x:v>
      </x:c>
      <x:c r="E24" s="53" t="n">
        <x:f>'Q3 Balance'!E14</x:f>
        <x:v>1703.507121</x:v>
      </x:c>
      <x:c r="F24" s="47" t="str">
        <x:v>30-Sep-2025 reported shares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5" hidden="0" customHeight="1">
      <x:c r="C25" s="58" t="str">
        <x:v>EPS</x:v>
      </x:c>
      <x:c r="D25" s="58" t="str">
        <x:v>VND / share</x:v>
      </x:c>
      <x:c r="E25" s="79" t="n">
        <x:f>E23/E24*1000</x:f>
        <x:v>5793.908398652119</x:v>
      </x:c>
      <x:c r="F25" s="81" t="str">
        <x:v>Parent PAT divided by shares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5" hidden="0" customHeight="1">
      <x:c r="C29" s="35" t="str">
        <x:v>Point-in-time comparable companies</x:v>
      </x:c>
      <x:c r="D29" s="36" t="str">
        <x:v>Point-in-time comparable companies</x:v>
      </x:c>
      <x:c r="E29" s="36" t="str">
        <x:v>Point-in-time comparable companies</x:v>
      </x:c>
      <x:c r="F29" s="36" t="str">
        <x:v>Point-in-time comparable companies</x:v>
      </x:c>
      <x:c r="G29" s="36" t="str">
        <x:v>Point-in-time comparable companies</x:v>
      </x:c>
      <x:c r="H29" s="36" t="str">
        <x:v>Point-in-time comparable companies</x:v>
      </x:c>
      <x:c r="I29" s="36" t="str">
        <x:v>Point-in-time comparable companies</x:v>
      </x:c>
      <x:c r="J29" s="36" t="str">
        <x:v>Point-in-time comparable companies</x:v>
      </x:c>
      <x:c r="K29" s="36" t="str">
        <x:v>Point-in-time comparable companies</x:v>
      </x:c>
      <x:c r="L29" s="36" t="str">
        <x:v>Point-in-time comparable companies</x:v>
      </x:c>
      <x:c r="M29" s="36" t="str">
        <x:v>Point-in-time comparable companies</x:v>
      </x:c>
      <x:c r="N29" s="37" t="str">
        <x:v>Point-in-time comparable companies</x:v>
      </x:c>
      <x:c r="O29" s="2"/>
      <x:c r="P29" s="2"/>
      <x:c r="Q29" s="2"/>
      <x:c r="R29" s="2"/>
      <x:c r="S29" s="2"/>
      <x:c r="T29" s="2"/>
    </x:row>
    <x:row r="30" ht="15" hidden="0" customHeight="1">
      <x:c r="C30" s="21" t="str">
        <x:v>Segment</x:v>
      </x:c>
      <x:c r="D30" s="22" t="str">
        <x:v>Company</x:v>
      </x:c>
      <x:c r="E30" s="22" t="str">
        <x:v>Country</x:v>
      </x:c>
      <x:c r="F30" s="22" t="str">
        <x:v>Data date</x:v>
      </x:c>
      <x:c r="G30" s="22" t="str">
        <x:v>Market cap (USDm)</x:v>
      </x:c>
      <x:c r="H30" s="22" t="str">
        <x:v>2026F EPS growth</x:v>
      </x:c>
      <x:c r="I30" s="22" t="str">
        <x:v>ROE</x:v>
      </x:c>
      <x:c r="J30" s="22" t="str">
        <x:v>TTM P/E</x:v>
      </x:c>
      <x:c r="K30" s="22" t="str">
        <x:v>2026F P/E</x:v>
      </x:c>
      <x:c r="L30" s="22" t="str">
        <x:v>P/B</x:v>
      </x:c>
      <x:c r="M30" s="22" t="str">
        <x:v>Source ID</x:v>
      </x:c>
      <x:c r="N30" s="23" t="str">
        <x:v>Status</x:v>
      </x:c>
      <x:c r="O30" s="2"/>
      <x:c r="P30" s="2"/>
      <x:c r="Q30" s="2"/>
      <x:c r="R30" s="2"/>
      <x:c r="S30" s="2"/>
      <x:c r="T30" s="2"/>
    </x:row>
    <x:row r="31" ht="22" hidden="0" customHeight="1">
      <x:c r="C31" s="2" t="str">
        <x:v>Global IT services</x:v>
      </x:c>
      <x:c r="D31" s="2" t="str">
        <x:v>Eclerx Services</x:v>
      </x:c>
      <x:c r="E31" s="2" t="str">
        <x:v>India</x:v>
      </x:c>
      <x:c r="F31" s="41" t="n">
        <x:v>45951</x:v>
      </x:c>
      <x:c r="G31" s="69" t="n">
        <x:v>2237</x:v>
      </x:c>
      <x:c r="H31" s="49" t="n">
        <x:v>0.207</x:v>
      </x:c>
      <x:c r="I31" s="49" t="n">
        <x:v>0.238</x:v>
      </x:c>
      <x:c r="J31" s="50" t="n">
        <x:v>37.8</x:v>
      </x:c>
      <x:c r="K31" s="50" t="n">
        <x:v>26.8</x:v>
      </x:c>
      <x:c r="L31" s="50" t="n">
        <x:v>8.9</x:v>
      </x:c>
      <x:c r="M31" s="46" t="str">
        <x:v>vietcap_fpt_20251022</x:v>
      </x:c>
      <x:c r="N31" s="46" t="str">
        <x:v>yes</x:v>
      </x:c>
      <x:c r="O31" s="2"/>
      <x:c r="P31" s="2"/>
      <x:c r="Q31" s="2"/>
      <x:c r="R31" s="2"/>
      <x:c r="S31" s="2"/>
      <x:c r="T31" s="2"/>
    </x:row>
    <x:row r="32" ht="22" hidden="0" customHeight="1">
      <x:c r="C32" s="2" t="str">
        <x:v>Global IT services</x:v>
      </x:c>
      <x:c r="D32" s="2" t="str">
        <x:v>Birlasoft Ltd</x:v>
      </x:c>
      <x:c r="E32" s="2" t="str">
        <x:v>India</x:v>
      </x:c>
      <x:c r="F32" s="41" t="n">
        <x:v>45951</x:v>
      </x:c>
      <x:c r="G32" s="69" t="n">
        <x:v>1073</x:v>
      </x:c>
      <x:c r="H32" s="49" t="n">
        <x:v>-0.075</x:v>
      </x:c>
      <x:c r="I32" s="49" t="n">
        <x:v>0.159</x:v>
      </x:c>
      <x:c r="J32" s="50" t="n">
        <x:v>18.2</x:v>
      </x:c>
      <x:c r="K32" s="50" t="n">
        <x:v>15.6</x:v>
      </x:c>
      <x:c r="L32" s="50" t="n">
        <x:v>2.7</x:v>
      </x:c>
      <x:c r="M32" s="46" t="str">
        <x:v>vietcap_fpt_20251022</x:v>
      </x:c>
      <x:c r="N32" s="46" t="str">
        <x:v>yes</x:v>
      </x:c>
      <x:c r="O32" s="2"/>
      <x:c r="P32" s="2"/>
      <x:c r="Q32" s="2"/>
      <x:c r="R32" s="2"/>
      <x:c r="S32" s="2"/>
      <x:c r="T32" s="2"/>
    </x:row>
    <x:row r="33" ht="22" hidden="0" customHeight="1">
      <x:c r="C33" s="2" t="str">
        <x:v>Global IT services</x:v>
      </x:c>
      <x:c r="D33" s="2" t="str">
        <x:v>Coforge Ltd</x:v>
      </x:c>
      <x:c r="E33" s="2" t="str">
        <x:v>India</x:v>
      </x:c>
      <x:c r="F33" s="41" t="n">
        <x:v>45951</x:v>
      </x:c>
      <x:c r="G33" s="69" t="n">
        <x:v>6647</x:v>
      </x:c>
      <x:c r="H33" s="49" t="n">
        <x:v>0.708</x:v>
      </x:c>
      <x:c r="I33" s="49" t="n">
        <x:v>0.16</x:v>
      </x:c>
      <x:c r="J33" s="50" t="n">
        <x:v>63.2</x:v>
      </x:c>
      <x:c r="K33" s="50" t="n">
        <x:v>33.5</x:v>
      </x:c>
      <x:c r="L33" s="50" t="n">
        <x:v>17.7</x:v>
      </x:c>
      <x:c r="M33" s="46" t="str">
        <x:v>vietcap_fpt_20251022</x:v>
      </x:c>
      <x:c r="N33" s="46" t="str">
        <x:v>yes</x:v>
      </x:c>
      <x:c r="O33" s="2"/>
      <x:c r="P33" s="2"/>
      <x:c r="Q33" s="2"/>
      <x:c r="R33" s="2"/>
      <x:c r="S33" s="2"/>
      <x:c r="T33" s="2"/>
    </x:row>
    <x:row r="34" ht="22" hidden="0" customHeight="1">
      <x:c r="C34" s="2" t="str">
        <x:v>Global IT services</x:v>
      </x:c>
      <x:c r="D34" s="2" t="str">
        <x:v>Sonata Software</x:v>
      </x:c>
      <x:c r="E34" s="2" t="str">
        <x:v>India</x:v>
      </x:c>
      <x:c r="F34" s="41" t="n">
        <x:v>45951</x:v>
      </x:c>
      <x:c r="G34" s="69" t="n">
        <x:v>1146</x:v>
      </x:c>
      <x:c r="H34" s="49" t="n">
        <x:v>0.098</x:v>
      </x:c>
      <x:c r="I34" s="49" t="n">
        <x:v>0.273</x:v>
      </x:c>
      <x:c r="J34" s="50" t="n">
        <x:v>23.5</x:v>
      </x:c>
      <x:c r="K34" s="50" t="n">
        <x:v>17.3</x:v>
      </x:c>
      <x:c r="L34" s="50" t="n">
        <x:v>5.9</x:v>
      </x:c>
      <x:c r="M34" s="46" t="str">
        <x:v>vietcap_fpt_20251022</x:v>
      </x:c>
      <x:c r="N34" s="46" t="str">
        <x:v>yes</x:v>
      </x:c>
      <x:c r="O34" s="2"/>
      <x:c r="P34" s="2"/>
      <x:c r="Q34" s="2"/>
      <x:c r="R34" s="2"/>
      <x:c r="S34" s="2"/>
      <x:c r="T34" s="2"/>
    </x:row>
    <x:row r="35" ht="22" hidden="0" customHeight="1">
      <x:c r="C35" s="2" t="str">
        <x:v>Global IT services</x:v>
      </x:c>
      <x:c r="D35" s="2" t="str">
        <x:v>KPIT Technologies</x:v>
      </x:c>
      <x:c r="E35" s="2" t="str">
        <x:v>India</x:v>
      </x:c>
      <x:c r="F35" s="41" t="n">
        <x:v>45951</x:v>
      </x:c>
      <x:c r="G35" s="69" t="n">
        <x:v>3574</x:v>
      </x:c>
      <x:c r="H35" s="49" t="n">
        <x:v>-0.037</x:v>
      </x:c>
      <x:c r="I35" s="49" t="n">
        <x:v>0.332</x:v>
      </x:c>
      <x:c r="J35" s="50" t="n">
        <x:v>37.1</x:v>
      </x:c>
      <x:c r="K35" s="50" t="n">
        <x:v>31.8</x:v>
      </x:c>
      <x:c r="L35" s="50" t="n">
        <x:v>10.7</x:v>
      </x:c>
      <x:c r="M35" s="46" t="str">
        <x:v>vietcap_fpt_20251022</x:v>
      </x:c>
      <x:c r="N35" s="46" t="str">
        <x:v>yes</x:v>
      </x:c>
      <x:c r="O35" s="2"/>
      <x:c r="P35" s="2"/>
      <x:c r="Q35" s="2"/>
      <x:c r="R35" s="2"/>
      <x:c r="S35" s="2"/>
      <x:c r="T35" s="2"/>
    </x:row>
    <x:row r="36" ht="22" hidden="0" customHeight="1">
      <x:c r="C36" s="2" t="str">
        <x:v>Global IT services</x:v>
      </x:c>
      <x:c r="D36" s="2" t="str">
        <x:v>L&amp;T Technologies</x:v>
      </x:c>
      <x:c r="E36" s="2" t="str">
        <x:v>India</x:v>
      </x:c>
      <x:c r="F36" s="41" t="n">
        <x:v>45951</x:v>
      </x:c>
      <x:c r="G36" s="69" t="n">
        <x:v>5061</x:v>
      </x:c>
      <x:c r="H36" s="49" t="n">
        <x:v>0.068</x:v>
      </x:c>
      <x:c r="I36" s="49" t="n">
        <x:v>0.216</x:v>
      </x:c>
      <x:c r="J36" s="50" t="n">
        <x:v>34.8</x:v>
      </x:c>
      <x:c r="K36" s="50" t="n">
        <x:v>27.5</x:v>
      </x:c>
      <x:c r="L36" s="50" t="n">
        <x:v>7.2</x:v>
      </x:c>
      <x:c r="M36" s="46" t="str">
        <x:v>vietcap_fpt_20251022</x:v>
      </x:c>
      <x:c r="N36" s="46" t="str">
        <x:v>yes</x:v>
      </x:c>
      <x:c r="O36" s="2"/>
      <x:c r="P36" s="2"/>
      <x:c r="Q36" s="2"/>
      <x:c r="R36" s="2"/>
      <x:c r="S36" s="2"/>
      <x:c r="T36" s="2"/>
    </x:row>
    <x:row r="37" ht="22" hidden="0" customHeight="1">
      <x:c r="C37" s="2" t="str">
        <x:v>Global IT services</x:v>
      </x:c>
      <x:c r="D37" s="2" t="str">
        <x:v>Mphasis Ltd</x:v>
      </x:c>
      <x:c r="E37" s="2" t="str">
        <x:v>India</x:v>
      </x:c>
      <x:c r="F37" s="41" t="n">
        <x:v>45951</x:v>
      </x:c>
      <x:c r="G37" s="69" t="n">
        <x:v>5943</x:v>
      </x:c>
      <x:c r="H37" s="49" t="n">
        <x:v>0.111</x:v>
      </x:c>
      <x:c r="I37" s="49" t="n">
        <x:v>0.185</x:v>
      </x:c>
      <x:c r="J37" s="50" t="n">
        <x:v>30.6</x:v>
      </x:c>
      <x:c r="K37" s="50" t="n">
        <x:v>24.3</x:v>
      </x:c>
      <x:c r="L37" s="50" t="n">
        <x:v>5.4</x:v>
      </x:c>
      <x:c r="M37" s="46" t="str">
        <x:v>vietcap_fpt_20251022</x:v>
      </x:c>
      <x:c r="N37" s="46" t="str">
        <x:v>yes</x:v>
      </x:c>
      <x:c r="O37" s="2"/>
      <x:c r="P37" s="2"/>
      <x:c r="Q37" s="2"/>
      <x:c r="R37" s="2"/>
      <x:c r="S37" s="2"/>
      <x:c r="T37" s="2"/>
    </x:row>
    <x:row r="38" ht="22" hidden="0" customHeight="1">
      <x:c r="C38" s="2" t="str">
        <x:v>Global IT services</x:v>
      </x:c>
      <x:c r="D38" s="2" t="str">
        <x:v>Persistent Systems</x:v>
      </x:c>
      <x:c r="E38" s="2" t="str">
        <x:v>India</x:v>
      </x:c>
      <x:c r="F38" s="41" t="n">
        <x:v>45951</x:v>
      </x:c>
      <x:c r="G38" s="69" t="n">
        <x:v>10393</x:v>
      </x:c>
      <x:c r="H38" s="49" t="n">
        <x:v>0.281</x:v>
      </x:c>
      <x:c r="I38" s="49" t="n">
        <x:v>0.262</x:v>
      </x:c>
      <x:c r="J38" s="50" t="n">
        <x:v>54.4</x:v>
      </x:c>
      <x:c r="K38" s="50" t="n">
        <x:v>41.7</x:v>
      </x:c>
      <x:c r="L38" s="50" t="n">
        <x:v>12.8</x:v>
      </x:c>
      <x:c r="M38" s="46" t="str">
        <x:v>vietcap_fpt_20251022</x:v>
      </x:c>
      <x:c r="N38" s="46" t="str">
        <x:v>yes</x:v>
      </x:c>
      <x:c r="O38" s="2"/>
      <x:c r="P38" s="2"/>
      <x:c r="Q38" s="2"/>
      <x:c r="R38" s="2"/>
      <x:c r="S38" s="2"/>
      <x:c r="T38" s="2"/>
    </x:row>
    <x:row r="39" ht="22" hidden="0" customHeight="1">
      <x:c r="C39" s="2" t="str">
        <x:v>Global IT services</x:v>
      </x:c>
      <x:c r="D39" s="2" t="str">
        <x:v>Oracle Financial Services</x:v>
      </x:c>
      <x:c r="E39" s="2" t="str">
        <x:v>India</x:v>
      </x:c>
      <x:c r="F39" s="41" t="n">
        <x:v>45951</x:v>
      </x:c>
      <x:c r="G39" s="69" t="n">
        <x:v>8486</x:v>
      </x:c>
      <x:c r="H39" s="49" t="n">
        <x:v>0.063</x:v>
      </x:c>
      <x:c r="I39" s="49" t="n">
        <x:v>0.329</x:v>
      </x:c>
      <x:c r="J39" s="50" t="n">
        <x:v>31.4</x:v>
      </x:c>
      <x:c r="K39" s="50" t="n">
        <x:v>26.4</x:v>
      </x:c>
      <x:c r="L39" s="50" t="n">
        <x:v>10.1</x:v>
      </x:c>
      <x:c r="M39" s="46" t="str">
        <x:v>vietcap_fpt_20251022</x:v>
      </x:c>
      <x:c r="N39" s="46" t="str">
        <x:v>yes</x:v>
      </x:c>
      <x:c r="O39" s="2"/>
      <x:c r="P39" s="2"/>
      <x:c r="Q39" s="2"/>
      <x:c r="R39" s="2"/>
      <x:c r="S39" s="2"/>
      <x:c r="T39" s="2"/>
    </x:row>
    <x:row r="40" ht="22" hidden="0" customHeight="1">
      <x:c r="C40" s="2" t="str">
        <x:v>Global IT services</x:v>
      </x:c>
      <x:c r="D40" s="2" t="str">
        <x:v>Infosys Ltd</x:v>
      </x:c>
      <x:c r="E40" s="2" t="str">
        <x:v>India</x:v>
      </x:c>
      <x:c r="F40" s="41" t="n">
        <x:v>45951</x:v>
      </x:c>
      <x:c r="G40" s="69" t="n">
        <x:v>69002</x:v>
      </x:c>
      <x:c r="H40" s="49" t="n">
        <x:v>0.082</x:v>
      </x:c>
      <x:c r="I40" s="49" t="n">
        <x:v>0.29</x:v>
      </x:c>
      <x:c r="J40" s="50" t="n">
        <x:v>21.5</x:v>
      </x:c>
      <x:c r="K40" s="50" t="n">
        <x:v>19.6</x:v>
      </x:c>
      <x:c r="L40" s="50" t="n">
        <x:v>5.9</x:v>
      </x:c>
      <x:c r="M40" s="46" t="str">
        <x:v>vietcap_fpt_20251022</x:v>
      </x:c>
      <x:c r="N40" s="46" t="str">
        <x:v>yes</x:v>
      </x:c>
      <x:c r="O40" s="2"/>
      <x:c r="P40" s="2"/>
      <x:c r="Q40" s="2"/>
      <x:c r="R40" s="2"/>
      <x:c r="S40" s="2"/>
      <x:c r="T40" s="2"/>
    </x:row>
    <x:row r="41" ht="22" hidden="0" customHeight="1">
      <x:c r="C41" s="2" t="str">
        <x:v>Global IT services</x:v>
      </x:c>
      <x:c r="D41" s="2" t="str">
        <x:v>LTIMindtree Ltd</x:v>
      </x:c>
      <x:c r="E41" s="2" t="str">
        <x:v>India</x:v>
      </x:c>
      <x:c r="F41" s="41" t="n">
        <x:v>45951</x:v>
      </x:c>
      <x:c r="G41" s="69" t="n">
        <x:v>18860</x:v>
      </x:c>
      <x:c r="H41" s="49" t="n">
        <x:v>0.174</x:v>
      </x:c>
      <x:c r="I41" s="49" t="n">
        <x:v>0.219</x:v>
      </x:c>
      <x:c r="J41" s="50" t="n">
        <x:v>34</x:v>
      </x:c>
      <x:c r="K41" s="50" t="n">
        <x:v>27.2</x:v>
      </x:c>
      <x:c r="L41" s="50" t="n">
        <x:v>7.1</x:v>
      </x:c>
      <x:c r="M41" s="46" t="str">
        <x:v>vietcap_fpt_20251022</x:v>
      </x:c>
      <x:c r="N41" s="46" t="str">
        <x:v>yes</x:v>
      </x:c>
      <x:c r="O41" s="2"/>
      <x:c r="P41" s="2"/>
      <x:c r="Q41" s="2"/>
      <x:c r="R41" s="2"/>
      <x:c r="S41" s="2"/>
      <x:c r="T41" s="2"/>
    </x:row>
    <x:row r="42" ht="22" hidden="0" customHeight="1">
      <x:c r="C42" s="2" t="str">
        <x:v>Global IT services</x:v>
      </x:c>
      <x:c r="D42" s="2" t="str">
        <x:v>Tech Mahindra Ltd</x:v>
      </x:c>
      <x:c r="E42" s="2" t="str">
        <x:v>India</x:v>
      </x:c>
      <x:c r="F42" s="41" t="n">
        <x:v>45951</x:v>
      </x:c>
      <x:c r="G42" s="69" t="n">
        <x:v>16086</x:v>
      </x:c>
      <x:c r="H42" s="49" t="n">
        <x:v>0.225</x:v>
      </x:c>
      <x:c r="I42" s="49" t="n">
        <x:v>0.166</x:v>
      </x:c>
      <x:c r="J42" s="50" t="n">
        <x:v>27</x:v>
      </x:c>
      <x:c r="K42" s="50" t="n">
        <x:v>19.6</x:v>
      </x:c>
      <x:c r="L42" s="50" t="n">
        <x:v>4.7</x:v>
      </x:c>
      <x:c r="M42" s="46" t="str">
        <x:v>vietcap_fpt_20251022</x:v>
      </x:c>
      <x:c r="N42" s="46" t="str">
        <x:v>yes</x:v>
      </x:c>
      <x:c r="O42" s="2"/>
      <x:c r="P42" s="2"/>
      <x:c r="Q42" s="2"/>
      <x:c r="R42" s="2"/>
      <x:c r="S42" s="2"/>
      <x:c r="T42" s="2"/>
    </x:row>
    <x:row r="43" ht="22" hidden="0" customHeight="1">
      <x:c r="C43" s="2" t="str">
        <x:v>Telecom</x:v>
      </x:c>
      <x:c r="D43" s="2" t="str">
        <x:v>China Telecom-H</x:v>
      </x:c>
      <x:c r="E43" s="2" t="str">
        <x:v>China</x:v>
      </x:c>
      <x:c r="F43" s="41" t="n">
        <x:v>45951</x:v>
      </x:c>
      <x:c r="G43" s="69" t="n">
        <x:v>84988</x:v>
      </x:c>
      <x:c r="H43" s="49" t="n">
        <x:v>0.061</x:v>
      </x:c>
      <x:c r="I43" s="49" t="n">
        <x:v>0.074</x:v>
      </x:c>
      <x:c r="J43" s="50" t="n">
        <x:v>13.8</x:v>
      </x:c>
      <x:c r="K43" s="50" t="n">
        <x:v>12.8</x:v>
      </x:c>
      <x:c r="L43" s="50" t="n">
        <x:v>1</x:v>
      </x:c>
      <x:c r="M43" s="46" t="str">
        <x:v>vietcap_fpt_20251022</x:v>
      </x:c>
      <x:c r="N43" s="46" t="str">
        <x:v>yes</x:v>
      </x:c>
      <x:c r="O43" s="2"/>
      <x:c r="P43" s="2"/>
      <x:c r="Q43" s="2"/>
      <x:c r="R43" s="2"/>
      <x:c r="S43" s="2"/>
      <x:c r="T43" s="2"/>
    </x:row>
    <x:row r="44" ht="22" hidden="0" customHeight="1">
      <x:c r="C44" s="2" t="str">
        <x:v>Telecom</x:v>
      </x:c>
      <x:c r="D44" s="2" t="str">
        <x:v>Singapore Telecom</x:v>
      </x:c>
      <x:c r="E44" s="2" t="str">
        <x:v>Singapore</x:v>
      </x:c>
      <x:c r="F44" s="41" t="n">
        <x:v>45951</x:v>
      </x:c>
      <x:c r="G44" s="69" t="n">
        <x:v>54877</x:v>
      </x:c>
      <x:c r="H44" s="49" t="n">
        <x:v>0.187</x:v>
      </x:c>
      <x:c r="I44" s="49" t="n">
        <x:v>0.165</x:v>
      </x:c>
      <x:c r="J44" s="50" t="n">
        <x:v>17.7</x:v>
      </x:c>
      <x:c r="K44" s="50" t="n">
        <x:v>21.3</x:v>
      </x:c>
      <x:c r="L44" s="50" t="n">
        <x:v>2.9</x:v>
      </x:c>
      <x:c r="M44" s="46" t="str">
        <x:v>vietcap_fpt_20251022</x:v>
      </x:c>
      <x:c r="N44" s="46" t="str">
        <x:v>yes</x:v>
      </x:c>
      <x:c r="O44" s="2"/>
      <x:c r="P44" s="2"/>
      <x:c r="Q44" s="2"/>
      <x:c r="R44" s="2"/>
      <x:c r="S44" s="2"/>
      <x:c r="T44" s="2"/>
    </x:row>
    <x:row r="45" ht="22" hidden="0" customHeight="1">
      <x:c r="C45" s="2" t="str">
        <x:v>Telecom</x:v>
      </x:c>
      <x:c r="D45" s="2" t="str">
        <x:v>Telkom Indonesia</x:v>
      </x:c>
      <x:c r="E45" s="2" t="str">
        <x:v>Indonesia</x:v>
      </x:c>
      <x:c r="F45" s="41" t="n">
        <x:v>45951</x:v>
      </x:c>
      <x:c r="G45" s="69" t="n">
        <x:v>17758</x:v>
      </x:c>
      <x:c r="H45" s="49" t="n">
        <x:v>-0.034</x:v>
      </x:c>
      <x:c r="I45" s="49" t="n">
        <x:v>0.174</x:v>
      </x:c>
      <x:c r="J45" s="50" t="n">
        <x:v>12.9</x:v>
      </x:c>
      <x:c r="K45" s="50" t="n">
        <x:v>12.4</x:v>
      </x:c>
      <x:c r="L45" s="50" t="n">
        <x:v>2.2</x:v>
      </x:c>
      <x:c r="M45" s="46" t="str">
        <x:v>vietcap_fpt_20251022</x:v>
      </x:c>
      <x:c r="N45" s="46" t="str">
        <x:v>yes</x:v>
      </x:c>
      <x:c r="O45" s="2"/>
      <x:c r="P45" s="2"/>
      <x:c r="Q45" s="2"/>
      <x:c r="R45" s="2"/>
      <x:c r="S45" s="2"/>
      <x:c r="T45" s="2"/>
    </x:row>
    <x:row r="46" ht="22" hidden="0" customHeight="1">
      <x:c r="C46" s="2" t="str">
        <x:v>Telecom</x:v>
      </x:c>
      <x:c r="D46" s="2" t="str">
        <x:v>PLDT Inc</x:v>
      </x:c>
      <x:c r="E46" s="2" t="str">
        <x:v>Philippines</x:v>
      </x:c>
      <x:c r="F46" s="41" t="n">
        <x:v>45951</x:v>
      </x:c>
      <x:c r="G46" s="69" t="n">
        <x:v>4071</x:v>
      </x:c>
      <x:c r="H46" s="49" t="n">
        <x:v>0.019</x:v>
      </x:c>
      <x:c r="I46" s="49" t="n">
        <x:v>0.271</x:v>
      </x:c>
      <x:c r="J46" s="50" t="n">
        <x:v>7.4</x:v>
      </x:c>
      <x:c r="K46" s="50" t="n">
        <x:v>6.4</x:v>
      </x:c>
      <x:c r="L46" s="50" t="n">
        <x:v>1.9</x:v>
      </x:c>
      <x:c r="M46" s="46" t="str">
        <x:v>vietcap_fpt_20251022</x:v>
      </x:c>
      <x:c r="N46" s="46" t="str">
        <x:v>yes</x:v>
      </x:c>
      <x:c r="O46" s="2"/>
      <x:c r="P46" s="2"/>
      <x:c r="Q46" s="2"/>
      <x:c r="R46" s="2"/>
      <x:c r="S46" s="2"/>
      <x:c r="T46" s="2"/>
    </x:row>
    <x:row r="47" ht="22" hidden="0" customHeight="1">
      <x:c r="C47" s="2" t="str">
        <x:v>Telecom</x:v>
      </x:c>
      <x:c r="D47" s="2" t="str">
        <x:v>Telekom Malaysia</x:v>
      </x:c>
      <x:c r="E47" s="2" t="str">
        <x:v>Malaysia</x:v>
      </x:c>
      <x:c r="F47" s="41" t="n">
        <x:v>45951</x:v>
      </x:c>
      <x:c r="G47" s="69" t="n">
        <x:v>6496</x:v>
      </x:c>
      <x:c r="H47" s="49" t="n">
        <x:v>-0.156</x:v>
      </x:c>
      <x:c r="I47" s="49" t="n">
        <x:v>0.204</x:v>
      </x:c>
      <x:c r="J47" s="50" t="n">
        <x:v>13.7</x:v>
      </x:c>
      <x:c r="K47" s="50" t="n">
        <x:v>15.5</x:v>
      </x:c>
      <x:c r="L47" s="50" t="n">
        <x:v>2.7</x:v>
      </x:c>
      <x:c r="M47" s="46" t="str">
        <x:v>vietcap_fpt_20251022</x:v>
      </x:c>
      <x:c r="N47" s="46" t="str">
        <x:v>yes</x:v>
      </x:c>
      <x:c r="O47" s="2"/>
      <x:c r="P47" s="2"/>
      <x:c r="Q47" s="2"/>
      <x:c r="R47" s="2"/>
      <x:c r="S47" s="2"/>
      <x:c r="T47" s="2"/>
    </x:row>
    <x:row r="48" ht="22" hidden="0" customHeight="1">
      <x:c r="C48" s="2" t="str">
        <x:v>Telecom</x:v>
      </x:c>
      <x:c r="D48" s="2" t="str">
        <x:v>Beijing Sinnet</x:v>
      </x:c>
      <x:c r="E48" s="2" t="str">
        <x:v>China</x:v>
      </x:c>
      <x:c r="F48" s="41" t="n">
        <x:v>45951</x:v>
      </x:c>
      <x:c r="G48" s="69" t="n">
        <x:v>3396</x:v>
      </x:c>
      <x:c r="H48" s="49" t="n">
        <x:v>-0.01</x:v>
      </x:c>
      <x:c r="I48" s="49" t="n">
        <x:v>0.018</x:v>
      </x:c>
      <x:c r="J48" s="50" t="n">
        <x:v>104.4</x:v>
      </x:c>
      <x:c r="K48" s="50" t="n">
        <x:v>53.7</x:v>
      </x:c>
      <x:c r="L48" s="50" t="n">
        <x:v>1.9</x:v>
      </x:c>
      <x:c r="M48" s="46" t="str">
        <x:v>vietcap_fpt_20251022</x:v>
      </x:c>
      <x:c r="N48" s="46" t="str">
        <x:v>yes</x:v>
      </x:c>
      <x:c r="O48" s="2"/>
      <x:c r="P48" s="2"/>
      <x:c r="Q48" s="2"/>
      <x:c r="R48" s="2"/>
      <x:c r="S48" s="2"/>
      <x:c r="T48" s="2"/>
    </x:row>
    <x:row r="49" ht="22" hidden="0" customHeight="1">
      <x:c r="C49" s="2" t="str">
        <x:v>Telecom</x:v>
      </x:c>
      <x:c r="D49" s="2" t="str">
        <x:v>Time dotCom Bhd</x:v>
      </x:c>
      <x:c r="E49" s="2" t="str">
        <x:v>Malaysia</x:v>
      </x:c>
      <x:c r="F49" s="41" t="n">
        <x:v>45951</x:v>
      </x:c>
      <x:c r="G49" s="69" t="n">
        <x:v>2136</x:v>
      </x:c>
      <x:c r="H49" s="49" t="n">
        <x:v>0.251</x:v>
      </x:c>
      <x:c r="I49" s="49" t="n">
        <x:v>0.105</x:v>
      </x:c>
      <x:c r="J49" s="50" t="n">
        <x:v>23.1</x:v>
      </x:c>
      <x:c r="K49" s="50" t="n">
        <x:v>17.5</x:v>
      </x:c>
      <x:c r="L49" s="50" t="n">
        <x:v>2.7</x:v>
      </x:c>
      <x:c r="M49" s="46" t="str">
        <x:v>vietcap_fpt_20251022</x:v>
      </x:c>
      <x:c r="N49" s="46" t="str">
        <x:v>yes</x:v>
      </x:c>
      <x:c r="O49" s="2"/>
      <x:c r="P49" s="2"/>
      <x:c r="Q49" s="2"/>
      <x:c r="R49" s="2"/>
      <x:c r="S49" s="2"/>
      <x:c r="T49" s="2"/>
    </x:row>
    <x:row r="50" ht="22" hidden="0" customHeight="1">
      <x:c r="C50" s="2" t="str">
        <x:v>Telecom</x:v>
      </x:c>
      <x:c r="D50" s="2" t="str">
        <x:v>Jasmine International</x:v>
      </x:c>
      <x:c r="E50" s="2" t="str">
        <x:v>Thailand</x:v>
      </x:c>
      <x:c r="F50" s="41" t="n">
        <x:v>45951</x:v>
      </x:c>
      <x:c r="G50" s="69" t="n">
        <x:v>369</x:v>
      </x:c>
      <x:c r="H50" s="49" t="n">
        <x:v>-0.833</x:v>
      </x:c>
      <x:c r="I50" s="49" t="n">
        <x:v>0.042</x:v>
      </x:c>
      <x:c r="J50" s="50" t="n">
        <x:v>28.7</x:v>
      </x:c>
      <x:c r="K50" s="50" t="n">
        <x:v>145</x:v>
      </x:c>
      <x:c r="L50" s="50" t="n">
        <x:v>1.3</x:v>
      </x:c>
      <x:c r="M50" s="46" t="str">
        <x:v>vietcap_fpt_20251022</x:v>
      </x:c>
      <x:c r="N50" s="46" t="str">
        <x:v>yes</x:v>
      </x:c>
      <x:c r="O50" s="2"/>
      <x:c r="P50" s="2"/>
      <x:c r="Q50" s="2"/>
      <x:c r="R50" s="2"/>
      <x:c r="S50" s="2"/>
      <x:c r="T50" s="2"/>
    </x:row>
    <x:row r="51" ht="22" hidden="0" customHeight="1">
      <x:c r="C51" s="2" t="str">
        <x:v>Telecom</x:v>
      </x:c>
      <x:c r="D51" s="2" t="str">
        <x:v>Kazakhtelecom</x:v>
      </x:c>
      <x:c r="E51" s="2" t="str">
        <x:v>Kazakhstan</x:v>
      </x:c>
      <x:c r="F51" s="41" t="n">
        <x:v>45951</x:v>
      </x:c>
      <x:c r="G51" s="69" t="n">
        <x:v>798</x:v>
      </x:c>
      <x:c r="H51" s="49"/>
      <x:c r="I51" s="49" t="n">
        <x:v>0.285</x:v>
      </x:c>
      <x:c r="J51" s="50" t="n">
        <x:v>3</x:v>
      </x:c>
      <x:c r="K51" s="50"/>
      <x:c r="L51" s="50" t="n">
        <x:v>0.7</x:v>
      </x:c>
      <x:c r="M51" s="46" t="str">
        <x:v>vietcap_fpt_20251022</x:v>
      </x:c>
      <x:c r="N51" s="46" t="str">
        <x:v>yes</x:v>
      </x:c>
      <x:c r="O51" s="2"/>
      <x:c r="P51" s="2"/>
      <x:c r="Q51" s="2"/>
      <x:c r="R51" s="2"/>
      <x:c r="S51" s="2"/>
      <x:c r="T51" s="2"/>
    </x:row>
    <x:row r="52" ht="22" hidden="0" customHeight="1">
      <x:c r="C52" s="2" t="str">
        <x:v>Education</x:v>
      </x:c>
      <x:c r="D52" s="2" t="str">
        <x:v>New Oriental</x:v>
      </x:c>
      <x:c r="E52" s="2" t="str">
        <x:v>China</x:v>
      </x:c>
      <x:c r="F52" s="41" t="n">
        <x:v>45881</x:v>
      </x:c>
      <x:c r="G52" s="69" t="n">
        <x:v>7457</x:v>
      </x:c>
      <x:c r="H52" s="49" t="n">
        <x:v>0.055</x:v>
      </x:c>
      <x:c r="I52" s="49" t="n">
        <x:v>0.1</x:v>
      </x:c>
      <x:c r="J52" s="50" t="n">
        <x:v>16.6</x:v>
      </x:c>
      <x:c r="K52" s="50" t="n">
        <x:v>13.6</x:v>
      </x:c>
      <x:c r="L52" s="50" t="n">
        <x:v>2</x:v>
      </x:c>
      <x:c r="M52" s="46" t="str">
        <x:v>vietcap_fpt_20250814</x:v>
      </x:c>
      <x:c r="N52" s="46" t="str">
        <x:v>yes</x:v>
      </x:c>
      <x:c r="O52" s="2"/>
      <x:c r="P52" s="2"/>
      <x:c r="Q52" s="2"/>
      <x:c r="R52" s="2"/>
      <x:c r="S52" s="2"/>
      <x:c r="T52" s="2"/>
    </x:row>
    <x:row r="53" ht="22" hidden="0" customHeight="1">
      <x:c r="C53" s="2" t="str">
        <x:v>Education</x:v>
      </x:c>
      <x:c r="D53" s="2" t="str">
        <x:v>TAL Education</x:v>
      </x:c>
      <x:c r="E53" s="2" t="str">
        <x:v>China</x:v>
      </x:c>
      <x:c r="F53" s="41" t="n">
        <x:v>45881</x:v>
      </x:c>
      <x:c r="G53" s="69" t="n">
        <x:v>6758</x:v>
      </x:c>
      <x:c r="H53" s="49" t="n">
        <x:v>0.808</x:v>
      </x:c>
      <x:c r="I53" s="49" t="n">
        <x:v>0.029</x:v>
      </x:c>
      <x:c r="J53" s="50" t="n">
        <x:v>20.1</x:v>
      </x:c>
      <x:c r="K53" s="50" t="n">
        <x:v>25.5</x:v>
      </x:c>
      <x:c r="L53" s="50" t="n">
        <x:v>1.6</x:v>
      </x:c>
      <x:c r="M53" s="46" t="str">
        <x:v>vietcap_fpt_20250814</x:v>
      </x:c>
      <x:c r="N53" s="46" t="str">
        <x:v>yes</x:v>
      </x:c>
      <x:c r="O53" s="2"/>
      <x:c r="P53" s="2"/>
      <x:c r="Q53" s="2"/>
      <x:c r="R53" s="2"/>
      <x:c r="S53" s="2"/>
      <x:c r="T53" s="2"/>
    </x:row>
    <x:row r="54" ht="22" hidden="0" customHeight="1">
      <x:c r="C54" s="2" t="str">
        <x:v>Education</x:v>
      </x:c>
      <x:c r="D54" s="2" t="str">
        <x:v>China Education</x:v>
      </x:c>
      <x:c r="E54" s="2" t="str">
        <x:v>China</x:v>
      </x:c>
      <x:c r="F54" s="41" t="n">
        <x:v>45881</x:v>
      </x:c>
      <x:c r="G54" s="69" t="n">
        <x:v>1002</x:v>
      </x:c>
      <x:c r="H54" s="49" t="n">
        <x:v>-0.06</x:v>
      </x:c>
      <x:c r="I54" s="49" t="n">
        <x:v>0.019</x:v>
      </x:c>
      <x:c r="J54" s="50" t="n">
        <x:v>23.8</x:v>
      </x:c>
      <x:c r="K54" s="50" t="n">
        <x:v>3.6</x:v>
      </x:c>
      <x:c r="L54" s="50" t="n">
        <x:v>0.4</x:v>
      </x:c>
      <x:c r="M54" s="46" t="str">
        <x:v>vietcap_fpt_20250814</x:v>
      </x:c>
      <x:c r="N54" s="46" t="str">
        <x:v>yes</x:v>
      </x:c>
      <x:c r="O54" s="2"/>
      <x:c r="P54" s="2"/>
      <x:c r="Q54" s="2"/>
      <x:c r="R54" s="2"/>
      <x:c r="S54" s="2"/>
      <x:c r="T54" s="2"/>
    </x:row>
    <x:row r="55" ht="22" hidden="0" customHeight="1">
      <x:c r="C55" s="2" t="str">
        <x:v>Education</x:v>
      </x:c>
      <x:c r="D55" s="2" t="str">
        <x:v>Tianli International</x:v>
      </x:c>
      <x:c r="E55" s="2" t="str">
        <x:v>China</x:v>
      </x:c>
      <x:c r="F55" s="41" t="n">
        <x:v>45881</x:v>
      </x:c>
      <x:c r="G55" s="69" t="n">
        <x:v>1153</x:v>
      </x:c>
      <x:c r="H55" s="49"/>
      <x:c r="I55" s="49" t="n">
        <x:v>0.272</x:v>
      </x:c>
      <x:c r="J55" s="50" t="n">
        <x:v>12</x:v>
      </x:c>
      <x:c r="K55" s="50"/>
      <x:c r="L55" s="50" t="n">
        <x:v>3</x:v>
      </x:c>
      <x:c r="M55" s="46" t="str">
        <x:v>vietcap_fpt_20250814</x:v>
      </x:c>
      <x:c r="N55" s="46" t="str">
        <x:v>yes</x:v>
      </x:c>
      <x:c r="O55" s="2"/>
      <x:c r="P55" s="2"/>
      <x:c r="Q55" s="2"/>
      <x:c r="R55" s="2"/>
      <x:c r="S55" s="2"/>
      <x:c r="T55" s="2"/>
    </x:row>
    <x:row r="56" ht="22" hidden="0" customHeight="1">
      <x:c r="C56" s="2" t="str">
        <x:v>Education</x:v>
      </x:c>
      <x:c r="D56" s="2" t="str">
        <x:v>China East Education</x:v>
      </x:c>
      <x:c r="E56" s="2" t="str">
        <x:v>China</x:v>
      </x:c>
      <x:c r="F56" s="41" t="n">
        <x:v>45881</x:v>
      </x:c>
      <x:c r="G56" s="69" t="n">
        <x:v>2488</x:v>
      </x:c>
      <x:c r="H56" s="49" t="n">
        <x:v>0.223</x:v>
      </x:c>
      <x:c r="I56" s="49" t="n">
        <x:v>0.09</x:v>
      </x:c>
      <x:c r="J56" s="50" t="n">
        <x:v>34.4</x:v>
      </x:c>
      <x:c r="K56" s="50" t="n">
        <x:v>27.5</x:v>
      </x:c>
      <x:c r="L56" s="50" t="n">
        <x:v>3.1</x:v>
      </x:c>
      <x:c r="M56" s="46" t="str">
        <x:v>vietcap_fpt_20250814</x:v>
      </x:c>
      <x:c r="N56" s="46" t="str">
        <x:v>yes</x:v>
      </x:c>
      <x:c r="O56" s="2"/>
      <x:c r="P56" s="2"/>
      <x:c r="Q56" s="2"/>
      <x:c r="R56" s="2"/>
      <x:c r="S56" s="2"/>
      <x:c r="T56" s="2"/>
    </x:row>
    <x:row r="57" ht="22" hidden="0" customHeight="1">
      <x:c r="C57" s="2" t="str">
        <x:v>Education</x:v>
      </x:c>
      <x:c r="D57" s="2" t="str">
        <x:v>Shanghai Action</x:v>
      </x:c>
      <x:c r="E57" s="2" t="str">
        <x:v>China</x:v>
      </x:c>
      <x:c r="F57" s="41" t="n">
        <x:v>45881</x:v>
      </x:c>
      <x:c r="G57" s="69" t="n">
        <x:v>615</x:v>
      </x:c>
      <x:c r="H57" s="49" t="n">
        <x:v>0.123</x:v>
      </x:c>
      <x:c r="I57" s="49" t="n">
        <x:v>0.266</x:v>
      </x:c>
      <x:c r="J57" s="50" t="n">
        <x:v>16.7</x:v>
      </x:c>
      <x:c r="K57" s="50" t="n">
        <x:v>14.5</x:v>
      </x:c>
      <x:c r="L57" s="50" t="n">
        <x:v>4.4</x:v>
      </x:c>
      <x:c r="M57" s="46" t="str">
        <x:v>vietcap_fpt_20250814</x:v>
      </x:c>
      <x:c r="N57" s="46" t="str">
        <x:v>yes</x:v>
      </x:c>
      <x:c r="O57" s="2"/>
      <x:c r="P57" s="2"/>
      <x:c r="Q57" s="2"/>
      <x:c r="R57" s="2"/>
      <x:c r="S57" s="2"/>
      <x:c r="T57" s="2"/>
    </x:row>
    <x:row r="58" ht="22" hidden="0" customHeight="1">
      <x:c r="C58" s="2" t="str">
        <x:v>Education</x:v>
      </x:c>
      <x:c r="D58" s="2" t="str">
        <x:v>XueDa XiaMen</x:v>
      </x:c>
      <x:c r="E58" s="2" t="str">
        <x:v>China</x:v>
      </x:c>
      <x:c r="F58" s="41" t="n">
        <x:v>45881</x:v>
      </x:c>
      <x:c r="G58" s="69" t="n">
        <x:v>913</x:v>
      </x:c>
      <x:c r="H58" s="49" t="n">
        <x:v>0.382</x:v>
      </x:c>
      <x:c r="I58" s="49" t="n">
        <x:v>0.269</x:v>
      </x:c>
      <x:c r="J58" s="50" t="n">
        <x:v>31.3</x:v>
      </x:c>
      <x:c r="K58" s="50" t="n">
        <x:v>25.6</x:v>
      </x:c>
      <x:c r="L58" s="50" t="n">
        <x:v>7.7</x:v>
      </x:c>
      <x:c r="M58" s="46" t="str">
        <x:v>vietcap_fpt_20250814</x:v>
      </x:c>
      <x:c r="N58" s="46" t="str">
        <x:v>yes</x:v>
      </x:c>
      <x:c r="O58" s="2"/>
      <x:c r="P58" s="2"/>
      <x:c r="Q58" s="2"/>
      <x:c r="R58" s="2"/>
      <x:c r="S58" s="2"/>
      <x:c r="T58" s="2"/>
    </x:row>
    <x:row r="59" ht="22" hidden="0" customHeight="1">
      <x:c r="C59" s="2" t="str">
        <x:v>Education</x:v>
      </x:c>
      <x:c r="D59" s="2" t="str">
        <x:v>SISB</x:v>
      </x:c>
      <x:c r="E59" s="2" t="str">
        <x:v>Thailand</x:v>
      </x:c>
      <x:c r="F59" s="41" t="n">
        <x:v>45881</x:v>
      </x:c>
      <x:c r="G59" s="69" t="n">
        <x:v>446</x:v>
      </x:c>
      <x:c r="H59" s="49" t="n">
        <x:v>0.102</x:v>
      </x:c>
      <x:c r="I59" s="49" t="n">
        <x:v>0.275</x:v>
      </x:c>
      <x:c r="J59" s="50" t="n">
        <x:v>16</x:v>
      </x:c>
      <x:c r="K59" s="50" t="n">
        <x:v>14.9</x:v>
      </x:c>
      <x:c r="L59" s="50" t="n">
        <x:v>4</x:v>
      </x:c>
      <x:c r="M59" s="46" t="str">
        <x:v>vietcap_fpt_20250814</x:v>
      </x:c>
      <x:c r="N59" s="46" t="str">
        <x:v>yes</x:v>
      </x:c>
      <x:c r="O59" s="2"/>
      <x:c r="P59" s="2"/>
      <x:c r="Q59" s="2"/>
      <x:c r="R59" s="2"/>
      <x:c r="S59" s="2"/>
      <x:c r="T59" s="2"/>
    </x:row>
    <x:row r="60" ht="22" hidden="0" customHeight="1">
      <x:c r="C60" s="2" t="str">
        <x:v>Education</x:v>
      </x:c>
      <x:c r="D60" s="2" t="str">
        <x:v>Riso Kyoiku</x:v>
      </x:c>
      <x:c r="E60" s="2" t="str">
        <x:v>Japan</x:v>
      </x:c>
      <x:c r="F60" s="41" t="n">
        <x:v>45881</x:v>
      </x:c>
      <x:c r="G60" s="69" t="n">
        <x:v>255</x:v>
      </x:c>
      <x:c r="H60" s="49" t="n">
        <x:v>0.064</x:v>
      </x:c>
      <x:c r="I60" s="49" t="n">
        <x:v>0.156</x:v>
      </x:c>
      <x:c r="J60" s="50" t="n">
        <x:v>23.9</x:v>
      </x:c>
      <x:c r="K60" s="50" t="n">
        <x:v>19.3</x:v>
      </x:c>
      <x:c r="L60" s="50" t="n">
        <x:v>3.8</x:v>
      </x:c>
      <x:c r="M60" s="46" t="str">
        <x:v>vietcap_fpt_20250814</x:v>
      </x:c>
      <x:c r="N60" s="46" t="str">
        <x:v>yes</x:v>
      </x:c>
      <x:c r="O60" s="2"/>
      <x:c r="P60" s="2"/>
      <x:c r="Q60" s="2"/>
      <x:c r="R60" s="2"/>
      <x:c r="S60" s="2"/>
      <x:c r="T60" s="2"/>
    </x:row>
    <x:row r="6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30" customHeight="1">
      <x:c r="C63" s="93" t="str">
        <x:v>Method note: the model uses medians, not averages, so the telecom outliers remain visible without controlling the result. The education peer set is dated 12-Aug-2025 because the 22-Oct-2025 Vietcap table did not publish an education block. All dates remain within Clock A.</x:v>
      </x:c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2"/>
      <x:c r="P63" s="2"/>
      <x:c r="Q63" s="2"/>
      <x:c r="R63" s="2"/>
      <x:c r="S63" s="2"/>
      <x:c r="T63" s="2"/>
    </x:row>
    <x:row r="64" ht="30" customHeight="1"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2"/>
      <x:c r="P64" s="2"/>
      <x:c r="Q64" s="2"/>
      <x:c r="R64" s="2"/>
      <x:c r="S64" s="2"/>
      <x:c r="T64" s="2"/>
    </x:row>
    <x:row r="65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</x:sheetData>
  <x:mergeCells>
    <x:mergeCell ref="C29:N29"/>
    <x:mergeCell ref="C63:N63"/>
    <x:mergeCell ref="C64:N64"/>
  </x:mergeCells>
  <x:pageMargins left="0.7" right="0.7" top="0.75" bottom="0.75" header="0.3" footer="0.3"/>
  <x:drawing xmlns:r="http://schemas.openxmlformats.org/officeDocument/2006/relationships" r:id="Re13203c98ed74908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52" t="n">
        <x:v>10867.003</x:v>
      </x:c>
      <x:c r="F6" s="52" t="n">
        <x:v>12078.678</x:v>
      </x:c>
      <x:c r="G6" s="52" t="n">
        <x:v>18915.494</x:v>
      </x:c>
      <x:c r="H6" s="52" t="n">
        <x:v>24288.049</x:v>
      </x:c>
      <x:c r="I6" s="52" t="n">
        <x:v>30952.512</x:v>
      </x:c>
      <x:c r="J6" s="57" t="n">
        <x:f>I6*(1+'Assumptions'!E10)</x:f>
        <x:v>35131.10112</x:v>
      </x:c>
      <x:c r="K6" s="57" t="n">
        <x:f>J6*(1+'Assumptions'!F10)</x:f>
        <x:v>40400.766288</x:v>
      </x:c>
      <x:c r="L6" s="57" t="n">
        <x:f>K6*(1+'Assumptions'!G10)</x:f>
        <x:v>46460.88123119999</x:v>
      </x:c>
      <x:c r="M6" s="57" t="n">
        <x:f>L6*(1+'Assumptions'!H10)</x:f>
        <x:v>52965.404603568</x:v>
      </x:c>
      <x:c r="N6" s="57" t="n">
        <x:f>M6*(1+'Assumptions'!I10)</x:f>
        <x:v>59850.907202031834</x:v>
      </x:c>
      <x:c r="O6" s="57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0.11150038331635681</x:v>
      </x:c>
      <x:c r="G7" s="49" t="n">
        <x:f>G6/F6-1</x:f>
        <x:v>0.5660235333701253</x:v>
      </x:c>
      <x:c r="H7" s="49" t="n">
        <x:f>H6/G6-1</x:f>
        <x:v>0.28402932537738645</x:v>
      </x:c>
      <x:c r="I7" s="49" t="n">
        <x:f>I6/H6-1</x:f>
        <x:v>0.2743926858843211</x:v>
      </x:c>
      <x:c r="J7" s="49" t="n">
        <x:f>J6/I6-1</x:f>
        <x:v>0.135</x:v>
      </x:c>
      <x:c r="K7" s="49" t="n">
        <x:f>K6/J6-1</x:f>
        <x:v>0.1499999999999999</x:v>
      </x:c>
      <x:c r="L7" s="49" t="n">
        <x:f>L6/K6-1</x:f>
        <x:v>0.1499999999999999</x:v>
      </x:c>
      <x:c r="M7" s="49" t="n">
        <x:f>M6/L6-1</x:f>
        <x:v>0.14000000000000012</x:v>
      </x:c>
      <x:c r="N7" s="49" t="n">
        <x:f>N6/M6-1</x:f>
        <x:v>0.1299999999999999</x:v>
      </x:c>
      <x:c r="O7" s="49" t="n">
        <x:f>O6/N6-1</x:f>
        <x:v>0.12000000000000033</x:v>
      </x:c>
    </x:row>
    <x:row r="8" ht="15" hidden="0" customHeight="1">
      <x:c r="C8" s="2" t="str"/>
      <x:c r="D8" s="2" t="str"/>
      <x:c r="E8" s="52"/>
      <x:c r="F8" s="52"/>
      <x:c r="G8" s="52"/>
      <x:c r="H8" s="52"/>
      <x:c r="I8" s="52"/>
      <x:c r="J8" s="57"/>
      <x:c r="K8" s="57"/>
      <x:c r="L8" s="57"/>
      <x:c r="M8" s="57"/>
      <x:c r="N8" s="57"/>
      <x:c r="O8" s="57"/>
    </x:row>
    <x:row r="9" ht="15" hidden="0" customHeight="1">
      <x:c r="C9" s="2" t="str">
        <x:v>Domestic IT revenue</x:v>
      </x:c>
      <x:c r="D9" s="2" t="str">
        <x:v>VND bn</x:v>
      </x:c>
      <x:c r="E9" s="52" t="n">
        <x:v>4804.672</x:v>
      </x:c>
      <x:c r="F9" s="52" t="n">
        <x:v>6331.443</x:v>
      </x:c>
      <x:c r="G9" s="52" t="n">
        <x:v>6847.408</x:v>
      </x:c>
      <x:c r="H9" s="52" t="n">
        <x:v>7161.056</x:v>
      </x:c>
      <x:c r="I9" s="52" t="n">
        <x:v>8157.364</x:v>
      </x:c>
      <x:c r="J9" s="57" t="n">
        <x:f>I9*(1+'Assumptions'!E14)</x:f>
        <x:v>8402.08492</x:v>
      </x:c>
      <x:c r="K9" s="57" t="n">
        <x:f>J9*(1+'Assumptions'!F14)</x:f>
        <x:v>9074.2517136</x:v>
      </x:c>
      <x:c r="L9" s="57" t="n">
        <x:f>K9*(1+'Assumptions'!G14)</x:f>
        <x:v>9890.934367824002</x:v>
      </x:c>
      <x:c r="M9" s="57" t="n">
        <x:f>L9*(1+'Assumptions'!H14)</x:f>
        <x:v>10781.118460928163</x:v>
      </x:c>
      <x:c r="N9" s="57" t="n">
        <x:f>M9*(1+'Assumptions'!I14)</x:f>
        <x:v>11643.607937802417</x:v>
      </x:c>
      <x:c r="O9" s="57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49"/>
      <x:c r="F10" s="49" t="n">
        <x:f>F9/E9-1</x:f>
        <x:v>0.31776799748245055</x:v>
      </x:c>
      <x:c r="G10" s="49" t="n">
        <x:f>G9/F9-1</x:f>
        <x:v>0.08149248125585284</x:v>
      </x:c>
      <x:c r="H10" s="49" t="n">
        <x:f>H9/G9-1</x:f>
        <x:v>0.04580536167846283</x:v>
      </x:c>
      <x:c r="I10" s="49" t="n">
        <x:f>I9/H9-1</x:f>
        <x:v>0.13912864247954482</x:v>
      </x:c>
      <x:c r="J10" s="49" t="n">
        <x:f>J9/I9-1</x:f>
        <x:v>0.030000000000000027</x:v>
      </x:c>
      <x:c r="K10" s="49" t="n">
        <x:f>K9/J9-1</x:f>
        <x:v>0.08000000000000007</x:v>
      </x:c>
      <x:c r="L10" s="49" t="n">
        <x:f>L9/K9-1</x:f>
        <x:v>0.09000000000000008</x:v>
      </x:c>
      <x:c r="M10" s="49" t="n">
        <x:f>M9/L9-1</x:f>
        <x:v>0.09000000000000008</x:v>
      </x:c>
      <x:c r="N10" s="49" t="n">
        <x:f>N9/M9-1</x:f>
        <x:v>0.08000000000000007</x:v>
      </x:c>
      <x:c r="O10" s="49" t="n">
        <x:f>O9/N9-1</x:f>
        <x:v>0.08000000000000007</x:v>
      </x:c>
    </x:row>
    <x:row r="11" ht="15" hidden="0" customHeight="1">
      <x:c r="C11" s="2" t="str"/>
      <x:c r="D11" s="2" t="str"/>
      <x:c r="E11" s="52"/>
      <x:c r="F11" s="52"/>
      <x:c r="G11" s="52"/>
      <x:c r="H11" s="52"/>
      <x:c r="I11" s="52"/>
      <x:c r="J11" s="57"/>
      <x:c r="K11" s="57"/>
      <x:c r="L11" s="57"/>
      <x:c r="M11" s="57"/>
      <x:c r="N11" s="57"/>
      <x:c r="O11" s="57"/>
    </x:row>
    <x:row r="12" ht="15" hidden="0" customHeight="1">
      <x:c r="C12" s="2" t="str">
        <x:v>Telecom revenue</x:v>
      </x:c>
      <x:c r="D12" s="2" t="str">
        <x:v>VND bn</x:v>
      </x:c>
      <x:c r="E12" s="52" t="n">
        <x:v>12000.26</x:v>
      </x:c>
      <x:c r="F12" s="52" t="n">
        <x:v>14540.801</x:v>
      </x:c>
      <x:c r="G12" s="52" t="n">
        <x:v>13954.22</x:v>
      </x:c>
      <x:c r="H12" s="52" t="n">
        <x:v>15185.852</x:v>
      </x:c>
      <x:c r="I12" s="52" t="n">
        <x:v>16905.897</x:v>
      </x:c>
      <x:c r="J12" s="57" t="n">
        <x:f>I12*(1+'Assumptions'!E18)</x:f>
        <x:v>18934.60464</x:v>
      </x:c>
      <x:c r="K12" s="57" t="n">
        <x:f>J12*(1+'Assumptions'!F18)</x:f>
        <x:v>21017.411150400003</x:v>
      </x:c>
      <x:c r="L12" s="57" t="n">
        <x:f>K12*(1+'Assumptions'!G18)</x:f>
        <x:v>23119.152265440007</x:v>
      </x:c>
      <x:c r="M12" s="57" t="n">
        <x:f>L12*(1+'Assumptions'!H18)</x:f>
        <x:v>25431.06749198401</x:v>
      </x:c>
      <x:c r="N12" s="57" t="n">
        <x:f>M12*(1+'Assumptions'!I18)</x:f>
        <x:v>27719.86356626257</x:v>
      </x:c>
      <x:c r="O12" s="57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49"/>
      <x:c r="F13" s="49" t="n">
        <x:f>F12/E12-1</x:f>
        <x:v>0.21170716301146797</x:v>
      </x:c>
      <x:c r="G13" s="49" t="n">
        <x:f>G12/F12-1</x:f>
        <x:v>-0.040340349888565274</x:v>
      </x:c>
      <x:c r="H13" s="49" t="n">
        <x:f>H12/G12-1</x:f>
        <x:v>0.08826233211171974</x:v>
      </x:c>
      <x:c r="I13" s="49" t="n">
        <x:f>I12/H12-1</x:f>
        <x:v>0.11326628232647074</x:v>
      </x:c>
      <x:c r="J13" s="49" t="n">
        <x:f>J12/I12-1</x:f>
        <x:v>0.1200000000000001</x:v>
      </x:c>
      <x:c r="K13" s="49" t="n">
        <x:f>K12/J12-1</x:f>
        <x:v>0.1100000000000001</x:v>
      </x:c>
      <x:c r="L13" s="49" t="n">
        <x:f>L12/K12-1</x:f>
        <x:v>0.10000000000000009</x:v>
      </x:c>
      <x:c r="M13" s="49" t="n">
        <x:f>M12/L12-1</x:f>
        <x:v>0.10000000000000009</x:v>
      </x:c>
      <x:c r="N13" s="49" t="n">
        <x:f>N12/M12-1</x:f>
        <x:v>0.09000000000000008</x:v>
      </x:c>
      <x:c r="O13" s="49" t="n">
        <x:f>O12/N12-1</x:f>
        <x:v>0.09000000000000008</x:v>
      </x:c>
    </x:row>
    <x:row r="14" ht="15" hidden="0" customHeight="1">
      <x:c r="C14" s="2" t="str"/>
      <x:c r="D14" s="2" t="str"/>
      <x:c r="E14" s="52"/>
      <x:c r="F14" s="52"/>
      <x:c r="G14" s="52"/>
      <x:c r="H14" s="52"/>
      <x:c r="I14" s="52"/>
      <x:c r="J14" s="57"/>
      <x:c r="K14" s="57"/>
      <x:c r="L14" s="57"/>
      <x:c r="M14" s="57"/>
      <x:c r="N14" s="57"/>
      <x:c r="O14" s="57"/>
    </x:row>
    <x:row r="15" ht="15" hidden="0" customHeight="1">
      <x:c r="C15" s="2" t="str">
        <x:v>Digital content revenue</x:v>
      </x:c>
      <x:c r="D15" s="2" t="str">
        <x:v>VND bn</x:v>
      </x:c>
      <x:c r="E15" s="52" t="n">
        <x:v>599.151</x:v>
      </x:c>
      <x:c r="F15" s="52" t="n">
        <x:v>607.738</x:v>
      </x:c>
      <x:c r="G15" s="52" t="n">
        <x:v>775.429</x:v>
      </x:c>
      <x:c r="H15" s="52" t="n">
        <x:v>619.959</x:v>
      </x:c>
      <x:c r="I15" s="52" t="n">
        <x:v>704.503</x:v>
      </x:c>
      <x:c r="J15" s="57" t="n">
        <x:f>I15*(1+'Assumptions'!E22)</x:f>
        <x:v>803.1334200000001</x:v>
      </x:c>
      <x:c r="K15" s="57" t="n">
        <x:f>J15*(1+'Assumptions'!F22)</x:f>
        <x:v>899.5094304000003</x:v>
      </x:c>
      <x:c r="L15" s="57" t="n">
        <x:f>K15*(1+'Assumptions'!G22)</x:f>
        <x:v>989.4603734400004</x:v>
      </x:c>
      <x:c r="M15" s="57" t="n">
        <x:f>L15*(1+'Assumptions'!H22)</x:f>
        <x:v>1088.4064107840004</x:v>
      </x:c>
      <x:c r="N15" s="57" t="n">
        <x:f>M15*(1+'Assumptions'!I22)</x:f>
        <x:v>1175.4789236467204</x:v>
      </x:c>
      <x:c r="O15" s="57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49"/>
      <x:c r="F16" s="49" t="n">
        <x:f>F15/E15-1</x:f>
        <x:v>0.01433194637078139</x:v>
      </x:c>
      <x:c r="G16" s="49" t="n">
        <x:f>G15/F15-1</x:f>
        <x:v>0.2759264683136482</x:v>
      </x:c>
      <x:c r="H16" s="49" t="n">
        <x:f>H15/G15-1</x:f>
        <x:v>-0.20049546767015425</x:v>
      </x:c>
      <x:c r="I16" s="49" t="n">
        <x:f>I15/H15-1</x:f>
        <x:v>0.13637030835910124</x:v>
      </x:c>
      <x:c r="J16" s="49" t="n">
        <x:f>J15/I15-1</x:f>
        <x:v>0.14000000000000012</x:v>
      </x:c>
      <x:c r="K16" s="49" t="n">
        <x:f>K15/J15-1</x:f>
        <x:v>0.1200000000000001</x:v>
      </x:c>
      <x:c r="L16" s="49" t="n">
        <x:f>L15/K15-1</x:f>
        <x:v>0.10000000000000009</x:v>
      </x:c>
      <x:c r="M16" s="49" t="n">
        <x:f>M15/L15-1</x:f>
        <x:v>0.10000000000000009</x:v>
      </x:c>
      <x:c r="N16" s="49" t="n">
        <x:f>N15/M15-1</x:f>
        <x:v>0.08000000000000007</x:v>
      </x:c>
      <x:c r="O16" s="49" t="n">
        <x:f>O15/N15-1</x:f>
        <x:v>0.08000000000000007</x:v>
      </x:c>
    </x:row>
    <x:row r="17" ht="15" hidden="0" customHeight="1">
      <x:c r="C17" s="2" t="str"/>
      <x:c r="D17" s="2" t="str"/>
      <x:c r="E17" s="52"/>
      <x:c r="F17" s="52"/>
      <x:c r="G17" s="52"/>
      <x:c r="H17" s="52"/>
      <x:c r="I17" s="52"/>
      <x:c r="J17" s="57"/>
      <x:c r="K17" s="57"/>
      <x:c r="L17" s="57"/>
      <x:c r="M17" s="57"/>
      <x:c r="N17" s="57"/>
      <x:c r="O17" s="57"/>
    </x:row>
    <x:row r="18" ht="15" hidden="0" customHeight="1">
      <x:c r="C18" s="2" t="str">
        <x:v>Education, investment and other revenue</x:v>
      </x:c>
      <x:c r="D18" s="2" t="str">
        <x:v>VND bn</x:v>
      </x:c>
      <x:c r="E18" s="52" t="n">
        <x:v>2187.175</x:v>
      </x:c>
      <x:c r="F18" s="52" t="n">
        <x:v>3237.52</x:v>
      </x:c>
      <x:c r="G18" s="52" t="n">
        <x:v>5066.948</x:v>
      </x:c>
      <x:c r="H18" s="52" t="n">
        <x:v>6572.8</x:v>
      </x:c>
      <x:c r="I18" s="52" t="n">
        <x:v>7444.159</x:v>
      </x:c>
      <x:c r="J18" s="57" t="n">
        <x:f>I18*(1+'Assumptions'!E26)</x:f>
        <x:v>7816.36695</x:v>
      </x:c>
      <x:c r="K18" s="57" t="n">
        <x:f>J18*(1+'Assumptions'!F26)</x:f>
        <x:v>8441.676306</x:v>
      </x:c>
      <x:c r="L18" s="57" t="n">
        <x:f>K18*(1+'Assumptions'!G26)</x:f>
        <x:v>9117.01041048</x:v>
      </x:c>
      <x:c r="M18" s="57" t="n">
        <x:f>L18*(1+'Assumptions'!H26)</x:f>
        <x:v>9846.3712433184</x:v>
      </x:c>
      <x:c r="N18" s="57" t="n">
        <x:f>M18*(1+'Assumptions'!I26)</x:f>
        <x:v>10634.080942783872</x:v>
      </x:c>
      <x:c r="O18" s="57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49"/>
      <x:c r="F19" s="49" t="n">
        <x:f>F18/E18-1</x:f>
        <x:v>0.4802290626035868</x:v>
      </x:c>
      <x:c r="G19" s="49" t="n">
        <x:f>G18/F18-1</x:f>
        <x:v>0.5650707949294522</x:v>
      </x:c>
      <x:c r="H19" s="49" t="n">
        <x:f>H18/G18-1</x:f>
        <x:v>0.2971911296504326</x:v>
      </x:c>
      <x:c r="I19" s="49" t="n">
        <x:f>I18/H18-1</x:f>
        <x:v>0.13257044182083733</x:v>
      </x:c>
      <x:c r="J19" s="49" t="n">
        <x:f>J18/I18-1</x:f>
        <x:v>0.050000000000000044</x:v>
      </x:c>
      <x:c r="K19" s="49" t="n">
        <x:f>K18/J18-1</x:f>
        <x:v>0.08000000000000007</x:v>
      </x:c>
      <x:c r="L19" s="49" t="n">
        <x:f>L18/K18-1</x:f>
        <x:v>0.08000000000000007</x:v>
      </x:c>
      <x:c r="M19" s="49" t="n">
        <x:f>M18/L18-1</x:f>
        <x:v>0.08000000000000007</x:v>
      </x:c>
      <x:c r="N19" s="49" t="n">
        <x:f>N18/M18-1</x:f>
        <x:v>0.08000000000000007</x:v>
      </x:c>
      <x:c r="O19" s="49" t="n">
        <x:f>O18/N18-1</x:f>
        <x:v>0.08000000000000007</x:v>
      </x:c>
    </x:row>
    <x:row r="20" ht="15" hidden="0" customHeight="1">
      <x:c r="C20" s="2" t="str"/>
      <x:c r="D20" s="2" t="str"/>
      <x:c r="E20" s="52"/>
      <x:c r="F20" s="52"/>
      <x:c r="G20" s="52"/>
      <x:c r="H20" s="52"/>
      <x:c r="I20" s="52"/>
      <x:c r="J20" s="57"/>
      <x:c r="K20" s="57"/>
      <x:c r="L20" s="57"/>
      <x:c r="M20" s="57"/>
      <x:c r="N20" s="57"/>
      <x:c r="O20" s="57"/>
    </x:row>
    <x:row r="21" ht="15" hidden="0" customHeight="1">
      <x:c r="C21" s="58" t="str">
        <x:v>Gross segment revenue</x:v>
      </x:c>
      <x:c r="D21" s="58" t="str">
        <x:v>VND bn</x:v>
      </x:c>
      <x:c r="E21" s="59" t="n">
        <x:f>SUM(E6,E9,E12,E15,E18)</x:f>
        <x:v>30458.261</x:v>
      </x:c>
      <x:c r="F21" s="59" t="n">
        <x:f>SUM(F6,F9,F12,F15,F18)</x:f>
        <x:v>36796.17999999999</x:v>
      </x:c>
      <x:c r="G21" s="59" t="n">
        <x:f>SUM(G6,G9,G12,G15,G18)</x:f>
        <x:v>45559.498999999996</x:v>
      </x:c>
      <x:c r="H21" s="59" t="n">
        <x:f>SUM(H6,H9,H12,H15,H18)</x:f>
        <x:v>53827.71600000001</x:v>
      </x:c>
      <x:c r="I21" s="59" t="n">
        <x:f>SUM(I6,I9,I12,I15,I18)</x:f>
        <x:v>64164.435</x:v>
      </x:c>
      <x:c r="J21" s="59" t="n">
        <x:f>SUM(J6,J9,J12,J15,J18)</x:f>
        <x:v>71087.29105</x:v>
      </x:c>
      <x:c r="K21" s="59" t="n">
        <x:f>SUM(K6,K9,K12,K15,K18)</x:f>
        <x:v>79833.61488839998</x:v>
      </x:c>
      <x:c r="L21" s="59" t="n">
        <x:f>SUM(L6,L9,L12,L15,L18)</x:f>
        <x:v>89577.438648384</x:v>
      </x:c>
      <x:c r="M21" s="59" t="n">
        <x:f>SUM(M6,M9,M12,M15,M18)</x:f>
        <x:v>100112.36821058256</x:v>
      </x:c>
      <x:c r="N21" s="59" t="n">
        <x:f>SUM(N6,N9,N12,N15,N18)</x:f>
        <x:v>111023.93857252742</x:v>
      </x:c>
      <x:c r="O21" s="59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52" t="n">
        <x:v>-627.86</x:v>
      </x:c>
      <x:c r="F22" s="52" t="n">
        <x:v>-1138.917</x:v>
      </x:c>
      <x:c r="G22" s="52" t="n">
        <x:v>-1549.971</x:v>
      </x:c>
      <x:c r="H22" s="52" t="n">
        <x:v>-1209.815</x:v>
      </x:c>
      <x:c r="I22" s="52" t="n">
        <x:v>-1315.641</x:v>
      </x:c>
      <x:c r="J22" s="57" t="n">
        <x:f>J21*'Assumptions'!E30</x:f>
        <x:v>-1421.745821</x:v>
      </x:c>
      <x:c r="K22" s="57" t="n">
        <x:f>K21*'Assumptions'!F30</x:f>
        <x:v>-1596.6722977679997</x:v>
      </x:c>
      <x:c r="L22" s="57" t="n">
        <x:f>L21*'Assumptions'!G30</x:f>
        <x:v>-1791.5487729676802</x:v>
      </x:c>
      <x:c r="M22" s="57" t="n">
        <x:f>M21*'Assumptions'!H30</x:f>
        <x:v>-2002.2473642116513</x:v>
      </x:c>
      <x:c r="N22" s="57" t="n">
        <x:f>N21*'Assumptions'!I30</x:f>
        <x:v>-2220.4787714505483</x:v>
      </x:c>
      <x:c r="O22" s="57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49" t="n">
        <x:f>E22/E21</x:f>
        <x:v>-0.020613783564334156</x:v>
      </x:c>
      <x:c r="F23" s="49" t="n">
        <x:f>F22/F21</x:f>
        <x:v>-0.030952044478530113</x:v>
      </x:c>
      <x:c r="G23" s="49" t="n">
        <x:f>G22/G21</x:f>
        <x:v>-0.0340208087011668</x:v>
      </x:c>
      <x:c r="H23" s="49" t="n">
        <x:f>H22/H21</x:f>
        <x:v>-0.022475688918326013</x:v>
      </x:c>
      <x:c r="I23" s="49" t="n">
        <x:f>I22/I21</x:f>
        <x:v>-0.02050420922431562</x:v>
      </x:c>
      <x:c r="J23" s="49" t="n">
        <x:f>J22/J21</x:f>
        <x:v>-0.02</x:v>
      </x:c>
      <x:c r="K23" s="49" t="n">
        <x:f>K22/K21</x:f>
        <x:v>-0.02</x:v>
      </x:c>
      <x:c r="L23" s="49" t="n">
        <x:f>L22/L21</x:f>
        <x:v>-0.02</x:v>
      </x:c>
      <x:c r="M23" s="49" t="n">
        <x:f>M22/M21</x:f>
        <x:v>-0.02</x:v>
      </x:c>
      <x:c r="N23" s="49" t="n">
        <x:f>N22/N21</x:f>
        <x:v>-0.02</x:v>
      </x:c>
      <x:c r="O23" s="49" t="n">
        <x:f>O22/O21</x:f>
        <x:v>-0.02</x:v>
      </x:c>
    </x:row>
    <x:row r="24" ht="15" hidden="0" customHeight="1">
      <x:c r="C24" s="58" t="str">
        <x:v>Group revenue</x:v>
      </x:c>
      <x:c r="D24" s="58" t="str">
        <x:v>VND bn</x:v>
      </x:c>
      <x:c r="E24" s="59" t="n">
        <x:f>E21+E22</x:f>
        <x:v>29830.400999999998</x:v>
      </x:c>
      <x:c r="F24" s="59" t="n">
        <x:f>F21+F22</x:f>
        <x:v>35657.26299999999</x:v>
      </x:c>
      <x:c r="G24" s="59" t="n">
        <x:f>G21+G22</x:f>
        <x:v>44009.528</x:v>
      </x:c>
      <x:c r="H24" s="59" t="n">
        <x:f>H21+H22</x:f>
        <x:v>52617.901000000005</x:v>
      </x:c>
      <x:c r="I24" s="59" t="n">
        <x:f>I21+I22</x:f>
        <x:v>62848.793999999994</x:v>
      </x:c>
      <x:c r="J24" s="59" t="n">
        <x:f>J21+J22</x:f>
        <x:v>69665.545229</x:v>
      </x:c>
      <x:c r="K24" s="59" t="n">
        <x:f>K21+K22</x:f>
        <x:v>78236.94259063198</x:v>
      </x:c>
      <x:c r="L24" s="59" t="n">
        <x:f>L21+L22</x:f>
        <x:v>87785.88987541632</x:v>
      </x:c>
      <x:c r="M24" s="59" t="n">
        <x:f>M21+M22</x:f>
        <x:v>98110.1208463709</x:v>
      </x:c>
      <x:c r="N24" s="59" t="n">
        <x:f>N21+N22</x:f>
        <x:v>108803.45980107687</x:v>
      </x:c>
      <x:c r="O24" s="59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49"/>
      <x:c r="F25" s="49" t="n">
        <x:f>F24/E24-1</x:f>
        <x:v>0.1953330094355752</x:v>
      </x:c>
      <x:c r="G25" s="49" t="n">
        <x:f>G24/F24-1</x:f>
        <x:v>0.23423741188436153</x:v>
      </x:c>
      <x:c r="H25" s="49" t="n">
        <x:f>H24/G24-1</x:f>
        <x:v>0.1956024840802657</x:v>
      </x:c>
      <x:c r="I25" s="49" t="n">
        <x:f>I24/H24-1</x:f>
        <x:v>0.19443749761131657</x:v>
      </x:c>
      <x:c r="J25" s="49" t="n">
        <x:f>J24/I24-1</x:f>
        <x:v>0.10846272132127144</x:v>
      </x:c>
      <x:c r="K25" s="49" t="n">
        <x:f>K24/J24-1</x:f>
        <x:v>0.12303639242981101</x:v>
      </x:c>
      <x:c r="L25" s="49" t="n">
        <x:f>L24/K24-1</x:f>
        <x:v>0.12205164170011584</x:v>
      </x:c>
      <x:c r="M25" s="49" t="n">
        <x:f>M24/L24-1</x:f>
        <x:v>0.11760695238843599</x:v>
      </x:c>
      <x:c r="N25" s="49" t="n">
        <x:f>N24/M24-1</x:f>
        <x:v>0.10899322987737925</x:v>
      </x:c>
      <x:c r="O25" s="49" t="n">
        <x:f>O24/N24-1</x:f>
        <x:v>0.1040599906478632</x:v>
      </x:c>
    </x:row>
    <x:row r="26" ht="15" hidden="0" customHeight="1">
      <x:c r="C26" s="2" t="str"/>
      <x:c r="D26" s="2" t="str"/>
      <x:c r="E26" s="52"/>
      <x:c r="F26" s="52"/>
      <x:c r="G26" s="52"/>
      <x:c r="H26" s="52"/>
      <x:c r="I26" s="52"/>
      <x:c r="J26" s="53"/>
      <x:c r="K26" s="53"/>
      <x:c r="L26" s="53"/>
      <x:c r="M26" s="53"/>
      <x:c r="N26" s="53"/>
      <x:c r="O26" s="53"/>
    </x:row>
    <x:row r="27" ht="15" hidden="0" customHeight="1">
      <x:c r="C27" s="58" t="str">
        <x:v>Group profit before tax</x:v>
      </x:c>
      <x:c r="D27" s="58" t="str">
        <x:v>VND bn</x:v>
      </x:c>
      <x:c r="E27" s="60" t="n">
        <x:v>5263.457</x:v>
      </x:c>
      <x:c r="F27" s="60" t="n">
        <x:v>6337.206</x:v>
      </x:c>
      <x:c r="G27" s="60" t="n">
        <x:v>7662.283</x:v>
      </x:c>
      <x:c r="H27" s="60" t="n">
        <x:v>9203.006</x:v>
      </x:c>
      <x:c r="I27" s="60" t="n">
        <x:v>11069.666</x:v>
      </x:c>
      <x:c r="J27" s="59"/>
      <x:c r="K27" s="59"/>
      <x:c r="L27" s="59"/>
      <x:c r="M27" s="59"/>
      <x:c r="N27" s="59"/>
      <x:c r="O27" s="59"/>
    </x:row>
    <x:row r="28" ht="15" hidden="0" customHeight="1">
      <x:c r="C28" s="2" t="str">
        <x:v>  PBT margin</x:v>
      </x:c>
      <x:c r="D28" s="2" t="str">
        <x:v>%</x:v>
      </x:c>
      <x:c r="E28" s="49" t="n">
        <x:f>E27/E24</x:f>
        <x:v>0.17644606922984377</x:v>
      </x:c>
      <x:c r="F28" s="49" t="n">
        <x:f>F27/F24</x:f>
        <x:v>0.17772553098088323</x:v>
      </x:c>
      <x:c r="G28" s="49" t="n">
        <x:f>G27/G24</x:f>
        <x:v>0.1741050937878725</x:v>
      </x:c>
      <x:c r="H28" s="49" t="n">
        <x:f>H27/H24</x:f>
        <x:v>0.1749025678542365</x:v>
      </x:c>
      <x:c r="I28" s="49" t="n">
        <x:f>I27/I24</x:f>
        <x:v>0.17613171702228686</x:v>
      </x:c>
      <x:c r="J28" s="49"/>
      <x:c r="K28" s="49"/>
      <x:c r="L28" s="49"/>
      <x:c r="M28" s="49"/>
      <x:c r="N28" s="49"/>
      <x:c r="O28" s="49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57" t="n">
        <x:f>'Segment Build'!E24</x:f>
        <x:v>29830.400999999998</x:v>
      </x:c>
      <x:c r="F6" s="57" t="n">
        <x:f>'Segment Build'!F24</x:f>
        <x:v>35657.26299999999</x:v>
      </x:c>
      <x:c r="G6" s="57" t="n">
        <x:f>'Segment Build'!G24</x:f>
        <x:v>44009.528</x:v>
      </x:c>
      <x:c r="H6" s="57" t="n">
        <x:f>'Segment Build'!H24</x:f>
        <x:v>52617.901000000005</x:v>
      </x:c>
      <x:c r="I6" s="57" t="n">
        <x:f>'Segment Build'!I24</x:f>
        <x:v>62848.793999999994</x:v>
      </x:c>
      <x:c r="J6" s="57" t="n">
        <x:f>'Segment Build'!J24</x:f>
        <x:v>69665.545229</x:v>
      </x:c>
      <x:c r="K6" s="57" t="n">
        <x:f>'Segment Build'!K24</x:f>
        <x:v>78236.94259063198</x:v>
      </x:c>
      <x:c r="L6" s="57" t="n">
        <x:f>'Segment Build'!L24</x:f>
        <x:v>87785.88987541632</x:v>
      </x:c>
      <x:c r="M6" s="57" t="n">
        <x:f>'Segment Build'!M24</x:f>
        <x:v>98110.1208463709</x:v>
      </x:c>
      <x:c r="N6" s="57" t="n">
        <x:f>'Segment Build'!N24</x:f>
        <x:v>108803.45980107687</x:v>
      </x:c>
      <x:c r="O6" s="57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0.1953330094355752</x:v>
      </x:c>
      <x:c r="G7" s="49" t="n">
        <x:f>G6/F6-1</x:f>
        <x:v>0.23423741188436153</x:v>
      </x:c>
      <x:c r="H7" s="49" t="n">
        <x:f>H6/G6-1</x:f>
        <x:v>0.1956024840802657</x:v>
      </x:c>
      <x:c r="I7" s="49" t="n">
        <x:f>I6/H6-1</x:f>
        <x:v>0.19443749761131657</x:v>
      </x:c>
      <x:c r="J7" s="49" t="n">
        <x:f>J6/I6-1</x:f>
        <x:v>0.10846272132127144</x:v>
      </x:c>
      <x:c r="K7" s="49" t="n">
        <x:f>K6/J6-1</x:f>
        <x:v>0.12303639242981101</x:v>
      </x:c>
      <x:c r="L7" s="49" t="n">
        <x:f>L6/K6-1</x:f>
        <x:v>0.12205164170011584</x:v>
      </x:c>
      <x:c r="M7" s="49" t="n">
        <x:f>M6/L6-1</x:f>
        <x:v>0.11760695238843599</x:v>
      </x:c>
      <x:c r="N7" s="49" t="n">
        <x:f>N6/M6-1</x:f>
        <x:v>0.10899322987737925</x:v>
      </x:c>
      <x:c r="O7" s="49" t="n">
        <x:f>O6/N6-1</x:f>
        <x:v>0.1040599906478632</x:v>
      </x:c>
    </x:row>
    <x:row r="8" ht="15" hidden="0" customHeight="1">
      <x:c r="C8" s="2" t="str"/>
      <x:c r="D8" s="2" t="str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</x:row>
    <x:row r="9" ht="15" hidden="0" customHeight="1">
      <x:c r="C9" s="2" t="str">
        <x:v>EBIT before financial items</x:v>
      </x:c>
      <x:c r="D9" s="2" t="str">
        <x:v>VND bn</x:v>
      </x:c>
      <x:c r="E9" s="52" t="n">
        <x:v>4604.729678588</x:v>
      </x:c>
      <x:c r="F9" s="52" t="n">
        <x:v>5415.027516223</x:v>
      </x:c>
      <x:c r="G9" s="52" t="n">
        <x:v>6794.557295869</x:v>
      </x:c>
      <x:c r="H9" s="52" t="n">
        <x:v>8451.627899363</x:v>
      </x:c>
      <x:c r="I9" s="52" t="n">
        <x:v>10508.347783359</x:v>
      </x:c>
      <x:c r="J9" s="57" t="n">
        <x:f>J6*'Assumptions'!E34</x:f>
        <x:v>11703.811598472</x:v>
      </x:c>
      <x:c r="K9" s="57" t="n">
        <x:f>K6*'Assumptions'!F34</x:f>
        <x:v>13300.280240407437</x:v>
      </x:c>
      <x:c r="L9" s="57" t="n">
        <x:f>L6*'Assumptions'!G34</x:f>
        <x:v>15099.173058571607</x:v>
      </x:c>
      <x:c r="M9" s="57" t="n">
        <x:f>M6*'Assumptions'!H34</x:f>
        <x:v>16973.050906422166</x:v>
      </x:c>
      <x:c r="N9" s="57" t="n">
        <x:f>N6*'Assumptions'!I34</x:f>
        <x:v>18931.802005387373</x:v>
      </x:c>
      <x:c r="O9" s="57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49" t="n">
        <x:f>E9/E6</x:f>
        <x:v>0.15436365332762372</x:v>
      </x:c>
      <x:c r="F10" s="49" t="n">
        <x:f>F9/F6</x:f>
        <x:v>0.15186324077153654</x:v>
      </x:c>
      <x:c r="G10" s="49" t="n">
        <x:f>G9/G6</x:f>
        <x:v>0.154388324634361</x:v>
      </x:c>
      <x:c r="H10" s="49" t="n">
        <x:f>H9/H6</x:f>
        <x:v>0.1606226728687448</x:v>
      </x:c>
      <x:c r="I10" s="49" t="n">
        <x:f>I9/I6</x:f>
        <x:v>0.1672004682119915</x:v>
      </x:c>
      <x:c r="J10" s="49" t="n">
        <x:f>J9/J6</x:f>
        <x:v>0.168</x:v>
      </x:c>
      <x:c r="K10" s="49" t="n">
        <x:f>K9/K6</x:f>
        <x:v>0.17</x:v>
      </x:c>
      <x:c r="L10" s="49" t="n">
        <x:f>L9/L6</x:f>
        <x:v>0.172</x:v>
      </x:c>
      <x:c r="M10" s="49" t="n">
        <x:f>M9/M6</x:f>
        <x:v>0.173</x:v>
      </x:c>
      <x:c r="N10" s="49" t="n">
        <x:f>N9/N6</x:f>
        <x:v>0.174</x:v>
      </x:c>
      <x:c r="O10" s="49" t="n">
        <x:f>O9/O6</x:f>
        <x:v>0.175</x:v>
      </x:c>
    </x:row>
    <x:row r="11" ht="15" hidden="0" customHeight="1">
      <x:c r="C11" s="2" t="str"/>
      <x:c r="D11" s="2" t="str"/>
      <x:c r="E11" s="52"/>
      <x:c r="F11" s="52"/>
      <x:c r="G11" s="52"/>
      <x:c r="H11" s="52"/>
      <x:c r="I11" s="52"/>
      <x:c r="J11" s="57"/>
      <x:c r="K11" s="57"/>
      <x:c r="L11" s="57"/>
      <x:c r="M11" s="57"/>
      <x:c r="N11" s="57"/>
      <x:c r="O11" s="57"/>
    </x:row>
    <x:row r="12" ht="15" hidden="0" customHeight="1">
      <x:c r="C12" s="2" t="str">
        <x:v>Group profit before tax</x:v>
      </x:c>
      <x:c r="D12" s="2" t="str">
        <x:v>VND bn</x:v>
      </x:c>
      <x:c r="E12" s="53" t="n">
        <x:f>'Segment Build'!E27</x:f>
        <x:v>5263.457</x:v>
      </x:c>
      <x:c r="F12" s="53" t="n">
        <x:f>'Segment Build'!F27</x:f>
        <x:v>6337.206</x:v>
      </x:c>
      <x:c r="G12" s="53" t="n">
        <x:f>'Segment Build'!G27</x:f>
        <x:v>7662.283</x:v>
      </x:c>
      <x:c r="H12" s="53" t="n">
        <x:f>'Segment Build'!H27</x:f>
        <x:v>9203.006</x:v>
      </x:c>
      <x:c r="I12" s="53" t="n">
        <x:f>'Segment Build'!I27</x:f>
        <x:v>11069.666</x:v>
      </x:c>
      <x:c r="J12" s="57"/>
      <x:c r="K12" s="57"/>
      <x:c r="L12" s="57"/>
      <x:c r="M12" s="57"/>
      <x:c r="N12" s="57"/>
      <x:c r="O12" s="57"/>
    </x:row>
    <x:row r="13" ht="15" hidden="0" customHeight="1">
      <x:c r="C13" s="2" t="str">
        <x:v>Tax expense</x:v>
      </x:c>
      <x:c r="D13" s="2" t="str">
        <x:v>VND bn</x:v>
      </x:c>
      <x:c r="E13" s="52" t="n">
        <x:v>839.711412369</x:v>
      </x:c>
      <x:c r="F13" s="52" t="n">
        <x:v>987.905341462</x:v>
      </x:c>
      <x:c r="G13" s="52" t="n">
        <x:v>1170.937505411</x:v>
      </x:c>
      <x:c r="H13" s="52" t="n">
        <x:v>1414.956358954</x:v>
      </x:c>
      <x:c r="I13" s="52" t="n">
        <x:v>1642.243887375</x:v>
      </x:c>
      <x:c r="J13" s="53" t="n">
        <x:f>J9*J14</x:f>
        <x:v>1814.09079776316</x:v>
      </x:c>
      <x:c r="K13" s="53" t="n">
        <x:f>K9*K14</x:f>
        <x:v>2061.5434372631526</x:v>
      </x:c>
      <x:c r="L13" s="53" t="n">
        <x:f>L9*L14</x:f>
        <x:v>2340.371824078599</x:v>
      </x:c>
      <x:c r="M13" s="53" t="n">
        <x:f>M9*M14</x:f>
        <x:v>2630.822890495436</x:v>
      </x:c>
      <x:c r="N13" s="53" t="n">
        <x:f>N9*N14</x:f>
        <x:v>2934.429310835043</x:v>
      </x:c>
      <x:c r="O13" s="53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49" t="n">
        <x:f>E13/E12</x:f>
        <x:v>0.15953610191343826</x:v>
      </x:c>
      <x:c r="F14" s="49" t="n">
        <x:f>F13/F12</x:f>
        <x:v>0.15588973144663437</x:v>
      </x:c>
      <x:c r="G14" s="49" t="n">
        <x:f>G13/G12</x:f>
        <x:v>0.15281835784595793</x:v>
      </x:c>
      <x:c r="H14" s="49" t="n">
        <x:f>H13/H12</x:f>
        <x:v>0.15374936829922747</x:v>
      </x:c>
      <x:c r="I14" s="49" t="n">
        <x:f>I13/I12</x:f>
        <x:v>0.14835532412405217</x:v>
      </x:c>
      <x:c r="J14" s="61" t="n">
        <x:f>'Assumptions'!E38</x:f>
        <x:v>0.155</x:v>
      </x:c>
      <x:c r="K14" s="61" t="n">
        <x:f>'Assumptions'!F38</x:f>
        <x:v>0.155</x:v>
      </x:c>
      <x:c r="L14" s="61" t="n">
        <x:f>'Assumptions'!G38</x:f>
        <x:v>0.155</x:v>
      </x:c>
      <x:c r="M14" s="61" t="n">
        <x:f>'Assumptions'!H38</x:f>
        <x:v>0.155</x:v>
      </x:c>
      <x:c r="N14" s="61" t="n">
        <x:f>'Assumptions'!I38</x:f>
        <x:v>0.155</x:v>
      </x:c>
      <x:c r="O14" s="61" t="n">
        <x:f>'Assumptions'!J38</x:f>
        <x:v>0.155</x:v>
      </x:c>
    </x:row>
    <x:row r="15" ht="15" hidden="0" customHeight="1">
      <x:c r="C15" s="2" t="str"/>
      <x:c r="D15" s="2" t="str"/>
      <x:c r="E15" s="52"/>
      <x:c r="F15" s="52"/>
      <x:c r="G15" s="52"/>
      <x:c r="H15" s="52"/>
      <x:c r="I15" s="52"/>
      <x:c r="J15" s="57"/>
      <x:c r="K15" s="57"/>
      <x:c r="L15" s="57"/>
      <x:c r="M15" s="57"/>
      <x:c r="N15" s="57"/>
      <x:c r="O15" s="57"/>
    </x:row>
    <x:row r="16" ht="15" hidden="0" customHeight="1">
      <x:c r="C16" s="58" t="str">
        <x:v>NOPAT</x:v>
      </x:c>
      <x:c r="D16" s="58" t="str">
        <x:v>VND bn</x:v>
      </x:c>
      <x:c r="E16" s="59" t="n">
        <x:f>E9*(1-E14)</x:f>
        <x:v>3870.109055300951</x:v>
      </x:c>
      <x:c r="F16" s="59" t="n">
        <x:f>F9*(1-F14)</x:f>
        <x:v>4570.880330942861</x:v>
      </x:c>
      <x:c r="G16" s="59" t="n">
        <x:f>G9*(1-G14)</x:f>
        <x:v>5756.224207624027</x:v>
      </x:c>
      <x:c r="H16" s="59" t="n">
        <x:f>H9*(1-H14)</x:f>
        <x:v>7152.1954487358125</x:v>
      </x:c>
      <x:c r="I16" s="59" t="n">
        <x:f>I9*(1-I14)</x:f>
        <x:v>8949.37844195051</x:v>
      </x:c>
      <x:c r="J16" s="59" t="n">
        <x:f>J9*(1-J14)</x:f>
        <x:v>9889.720800708841</x:v>
      </x:c>
      <x:c r="K16" s="59" t="n">
        <x:f>K9*(1-K14)</x:f>
        <x:v>11238.736803144284</x:v>
      </x:c>
      <x:c r="L16" s="59" t="n">
        <x:f>L9*(1-L14)</x:f>
        <x:v>12758.801234493007</x:v>
      </x:c>
      <x:c r="M16" s="59" t="n">
        <x:f>M9*(1-M14)</x:f>
        <x:v>14342.22801592673</x:v>
      </x:c>
      <x:c r="N16" s="59" t="n">
        <x:f>N9*(1-N14)</x:f>
        <x:v>15997.37269455233</x:v>
      </x:c>
      <x:c r="O16" s="59" t="n">
        <x:f>O9*(1-O14)</x:f>
        <x:v>17763.565234592643</x:v>
      </x:c>
    </x:row>
    <x:row r="17" ht="15" hidden="0" customHeight="1">
      <x:c r="C17" s="2" t="str"/>
      <x:c r="D17" s="2" t="str"/>
      <x:c r="E17" s="52"/>
      <x:c r="F17" s="52"/>
      <x:c r="G17" s="52"/>
      <x:c r="H17" s="52"/>
      <x:c r="I17" s="52"/>
      <x:c r="J17" s="57"/>
      <x:c r="K17" s="57"/>
      <x:c r="L17" s="57"/>
      <x:c r="M17" s="57"/>
      <x:c r="N17" s="57"/>
      <x:c r="O17" s="57"/>
    </x:row>
    <x:row r="18" ht="15" hidden="0" customHeight="1">
      <x:c r="C18" s="2" t="str">
        <x:v>Depreciation and amortisation</x:v>
      </x:c>
      <x:c r="D18" s="2" t="str">
        <x:v>VND bn</x:v>
      </x:c>
      <x:c r="E18" s="52" t="n">
        <x:v>1490.607476892</x:v>
      </x:c>
      <x:c r="F18" s="52" t="n">
        <x:v>1643.915685332</x:v>
      </x:c>
      <x:c r="G18" s="52" t="n">
        <x:v>1833.064499128</x:v>
      </x:c>
      <x:c r="H18" s="52" t="n">
        <x:v>2286.514158688</x:v>
      </x:c>
      <x:c r="I18" s="52" t="n">
        <x:v>2535.298475665</x:v>
      </x:c>
      <x:c r="J18" s="57" t="n">
        <x:f>J6*'Assumptions'!E42</x:f>
        <x:v>2856.287354389</x:v>
      </x:c>
      <x:c r="K18" s="57" t="n">
        <x:f>K6*'Assumptions'!F42</x:f>
        <x:v>3129.4777036252794</x:v>
      </x:c>
      <x:c r="L18" s="57" t="n">
        <x:f>L6*'Assumptions'!G42</x:f>
        <x:v>3511.435595016653</x:v>
      </x:c>
      <x:c r="M18" s="57" t="n">
        <x:f>M6*'Assumptions'!H42</x:f>
        <x:v>3826.2947130084654</x:v>
      </x:c>
      <x:c r="N18" s="57" t="n">
        <x:f>N6*'Assumptions'!I42</x:f>
        <x:v>4243.334932241998</x:v>
      </x:c>
      <x:c r="O18" s="57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49" t="n">
        <x:f>E18/E6</x:f>
        <x:v>0.04996940795036581</x:v>
      </x:c>
      <x:c r="F19" s="49" t="n">
        <x:f>F18/F6</x:f>
        <x:v>0.04610324929684032</x:v>
      </x:c>
      <x:c r="G19" s="49" t="n">
        <x:f>G18/G6</x:f>
        <x:v>0.04165153734727626</x:v>
      </x:c>
      <x:c r="H19" s="49" t="n">
        <x:f>H18/H6</x:f>
        <x:v>0.04345506216008122</x:v>
      </x:c>
      <x:c r="I19" s="49" t="n">
        <x:f>I18/I6</x:f>
        <x:v>0.0403396519536238</x:v>
      </x:c>
      <x:c r="J19" s="49" t="n">
        <x:f>J18/J6</x:f>
        <x:v>0.041</x:v>
      </x:c>
      <x:c r="K19" s="49" t="n">
        <x:f>K18/K6</x:f>
        <x:v>0.04</x:v>
      </x:c>
      <x:c r="L19" s="49" t="n">
        <x:f>L18/L6</x:f>
        <x:v>0.04</x:v>
      </x:c>
      <x:c r="M19" s="49" t="n">
        <x:f>M18/M6</x:f>
        <x:v>0.039</x:v>
      </x:c>
      <x:c r="N19" s="49" t="n">
        <x:f>N18/N6</x:f>
        <x:v>0.039</x:v>
      </x:c>
      <x:c r="O19" s="49" t="n">
        <x:f>O18/O6</x:f>
        <x:v>0.038</x:v>
      </x:c>
    </x:row>
    <x:row r="20" ht="15" hidden="0" customHeight="1">
      <x:c r="C20" s="2" t="str"/>
      <x:c r="D20" s="2" t="str"/>
      <x:c r="E20" s="52"/>
      <x:c r="F20" s="52"/>
      <x:c r="G20" s="52"/>
      <x:c r="H20" s="52"/>
      <x:c r="I20" s="52"/>
      <x:c r="J20" s="57"/>
      <x:c r="K20" s="57"/>
      <x:c r="L20" s="57"/>
      <x:c r="M20" s="57"/>
      <x:c r="N20" s="57"/>
      <x:c r="O20" s="57"/>
    </x:row>
    <x:row r="21" ht="15" hidden="0" customHeight="1">
      <x:c r="C21" s="2" t="str">
        <x:v>Capital expenditure</x:v>
      </x:c>
      <x:c r="D21" s="2" t="str">
        <x:v>VND bn</x:v>
      </x:c>
      <x:c r="E21" s="52" t="n">
        <x:v>3017.645357713</x:v>
      </x:c>
      <x:c r="F21" s="52" t="n">
        <x:v>2911.001172725</x:v>
      </x:c>
      <x:c r="G21" s="52" t="n">
        <x:v>3215.243200871</x:v>
      </x:c>
      <x:c r="H21" s="52" t="n">
        <x:v>3978.252082224</x:v>
      </x:c>
      <x:c r="I21" s="52" t="n">
        <x:v>3275.312325702</x:v>
      </x:c>
      <x:c r="J21" s="57" t="n">
        <x:f>J6*'Assumptions'!E46</x:f>
        <x:v>4179.93271374</x:v>
      </x:c>
      <x:c r="K21" s="57" t="n">
        <x:f>K6*'Assumptions'!F46</x:f>
        <x:v>4537.742670256655</x:v>
      </x:c>
      <x:c r="L21" s="57" t="n">
        <x:f>L6*'Assumptions'!G46</x:f>
        <x:v>4828.223943147897</x:v>
      </x:c>
      <x:c r="M21" s="57" t="n">
        <x:f>M6*'Assumptions'!H46</x:f>
        <x:v>5101.726284011287</x:v>
      </x:c>
      <x:c r="N21" s="57" t="n">
        <x:f>N6*'Assumptions'!I46</x:f>
        <x:v>5440.172990053844</x:v>
      </x:c>
      <x:c r="O21" s="57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49" t="n">
        <x:f>E21/E6</x:f>
        <x:v>0.10116006679605145</x:v>
      </x:c>
      <x:c r="F22" s="49" t="n">
        <x:f>F21/F6</x:f>
        <x:v>0.08163837961217048</x:v>
      </x:c>
      <x:c r="G22" s="49" t="n">
        <x:f>G21/G6</x:f>
        <x:v>0.07305788875697554</x:v>
      </x:c>
      <x:c r="H22" s="49" t="n">
        <x:f>H21/H6</x:f>
        <x:v>0.07560643823903199</x:v>
      </x:c>
      <x:c r="I22" s="49" t="n">
        <x:f>I21/I6</x:f>
        <x:v>0.052114163490583454</x:v>
      </x:c>
      <x:c r="J22" s="49" t="n">
        <x:f>J21/J6</x:f>
        <x:v>0.06</x:v>
      </x:c>
      <x:c r="K22" s="49" t="n">
        <x:f>K21/K6</x:f>
        <x:v>0.058</x:v>
      </x:c>
      <x:c r="L22" s="49" t="n">
        <x:f>L21/L6</x:f>
        <x:v>0.05499999999999999</x:v>
      </x:c>
      <x:c r="M22" s="49" t="n">
        <x:f>M21/M6</x:f>
        <x:v>0.052</x:v>
      </x:c>
      <x:c r="N22" s="49" t="n">
        <x:f>N21/N6</x:f>
        <x:v>0.05</x:v>
      </x:c>
      <x:c r="O22" s="49" t="n">
        <x:f>O21/O6</x:f>
        <x:v>0.05</x:v>
      </x:c>
    </x:row>
    <x:row r="23" ht="15" hidden="0" customHeight="1">
      <x:c r="C23" s="2" t="str"/>
      <x:c r="D23" s="2" t="str"/>
      <x:c r="E23" s="52"/>
      <x:c r="F23" s="52"/>
      <x:c r="G23" s="52"/>
      <x:c r="H23" s="52"/>
      <x:c r="I23" s="52"/>
      <x:c r="J23" s="57"/>
      <x:c r="K23" s="57"/>
      <x:c r="L23" s="57"/>
      <x:c r="M23" s="57"/>
      <x:c r="N23" s="57"/>
      <x:c r="O23" s="57"/>
    </x:row>
    <x:row r="24" ht="15" hidden="0" customHeight="1">
      <x:c r="C24" s="2" t="str">
        <x:v>Working-capital cash effect</x:v>
      </x:c>
      <x:c r="D24" s="2" t="str">
        <x:v>VND bn</x:v>
      </x:c>
      <x:c r="E24" s="52" t="n">
        <x:v>1368.495173285</x:v>
      </x:c>
      <x:c r="F24" s="52" t="n">
        <x:v>622.81184097</x:v>
      </x:c>
      <x:c r="G24" s="52" t="n">
        <x:v>-1780.942589548</x:v>
      </x:c>
      <x:c r="H24" s="52" t="n">
        <x:v>678.455083089</x:v>
      </x:c>
      <x:c r="I24" s="52" t="n">
        <x:v>302.676186985</x:v>
      </x:c>
      <x:c r="J24" s="53" t="n">
        <x:f>-J25</x:f>
        <x:v>-136.33502458000004</x:v>
      </x:c>
      <x:c r="K24" s="53" t="n">
        <x:f>-K25</x:f>
        <x:v>-171.42794723263972</x:v>
      </x:c>
      <x:c r="L24" s="53" t="n">
        <x:f>-L25</x:f>
        <x:v>-190.97894569568686</x:v>
      </x:c>
      <x:c r="M24" s="53" t="n">
        <x:f>-M25</x:f>
        <x:v>-206.48461941909162</x:v>
      </x:c>
      <x:c r="N24" s="53" t="n">
        <x:f>-N25</x:f>
        <x:v>-213.86677909411927</x:v>
      </x:c>
      <x:c r="O24" s="53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53" t="n">
        <x:f>-E24</x:f>
        <x:v>-1368.495173285</x:v>
      </x:c>
      <x:c r="F25" s="53" t="n">
        <x:f>-F24</x:f>
        <x:v>-622.81184097</x:v>
      </x:c>
      <x:c r="G25" s="53" t="n">
        <x:f>-G24</x:f>
        <x:v>1780.942589548</x:v>
      </x:c>
      <x:c r="H25" s="53" t="n">
        <x:f>-H24</x:f>
        <x:v>-678.455083089</x:v>
      </x:c>
      <x:c r="I25" s="53" t="n">
        <x:f>-I24</x:f>
        <x:v>-302.676186985</x:v>
      </x:c>
      <x:c r="J25" s="57" t="n">
        <x:f>(J6-I6)*'Assumptions'!E50</x:f>
        <x:v>136.33502458000004</x:v>
      </x:c>
      <x:c r="K25" s="57" t="n">
        <x:f>(K6-J6)*'Assumptions'!F50</x:f>
        <x:v>171.42794723263972</x:v>
      </x:c>
      <x:c r="L25" s="57" t="n">
        <x:f>(L6-K6)*'Assumptions'!G50</x:f>
        <x:v>190.97894569568686</x:v>
      </x:c>
      <x:c r="M25" s="57" t="n">
        <x:f>(M6-L6)*'Assumptions'!H50</x:f>
        <x:v>206.48461941909162</x:v>
      </x:c>
      <x:c r="N25" s="57" t="n">
        <x:f>(N6-M6)*'Assumptions'!I50</x:f>
        <x:v>213.86677909411927</x:v>
      </x:c>
      <x:c r="O25" s="57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49"/>
      <x:c r="F26" s="49" t="n">
        <x:f>F25/(F6-E6)</x:f>
        <x:v>-0.1068863207966828</x:v>
      </x:c>
      <x:c r="G26" s="49" t="n">
        <x:f>G25/(G6-F6)</x:f>
        <x:v>0.21322869779012021</x:v>
      </x:c>
      <x:c r="H26" s="49" t="n">
        <x:f>H25/(H6-G6)</x:f>
        <x:v>-0.07881339285472405</x:v>
      </x:c>
      <x:c r="I26" s="49" t="n">
        <x:f>I25/(I6-H6)</x:f>
        <x:v>-0.029584532551068646</x:v>
      </x:c>
      <x:c r="J26" s="49" t="n">
        <x:f>J25/(J6-I6)</x:f>
        <x:v>0.02</x:v>
      </x:c>
      <x:c r="K26" s="49" t="n">
        <x:f>K25/(K6-J6)</x:f>
        <x:v>0.02</x:v>
      </x:c>
      <x:c r="L26" s="49" t="n">
        <x:f>L25/(L6-K6)</x:f>
        <x:v>0.02</x:v>
      </x:c>
      <x:c r="M26" s="49" t="n">
        <x:f>M25/(M6-L6)</x:f>
        <x:v>0.02</x:v>
      </x:c>
      <x:c r="N26" s="49" t="n">
        <x:f>N25/(N6-M6)</x:f>
        <x:v>0.02</x:v>
      </x:c>
      <x:c r="O26" s="49" t="n">
        <x:f>O25/(O6-N6)</x:f>
        <x:v>0.02</x:v>
      </x:c>
    </x:row>
    <x:row r="27" ht="15" hidden="0" customHeight="1">
      <x:c r="C27" s="2" t="str"/>
      <x:c r="D27" s="2" t="str"/>
      <x:c r="E27" s="52"/>
      <x:c r="F27" s="52"/>
      <x:c r="G27" s="52"/>
      <x:c r="H27" s="52"/>
      <x:c r="I27" s="52"/>
      <x:c r="J27" s="53"/>
      <x:c r="K27" s="53"/>
      <x:c r="L27" s="53"/>
      <x:c r="M27" s="53"/>
      <x:c r="N27" s="53"/>
      <x:c r="O27" s="53"/>
    </x:row>
    <x:row r="28" ht="15" hidden="0" customHeight="1">
      <x:c r="C28" s="58" t="str">
        <x:v>FCFF</x:v>
      </x:c>
      <x:c r="D28" s="58" t="str">
        <x:v>VND bn</x:v>
      </x:c>
      <x:c r="E28" s="59" t="n">
        <x:f>E16+E18-E21-E25</x:f>
        <x:v>3711.5663477649505</x:v>
      </x:c>
      <x:c r="F28" s="59" t="n">
        <x:f>F16+F18-F21-F25</x:f>
        <x:v>3926.6066845198616</x:v>
      </x:c>
      <x:c r="G28" s="59" t="n">
        <x:f>G16+G18-G21-G25</x:f>
        <x:v>2593.1029163330277</x:v>
      </x:c>
      <x:c r="H28" s="59" t="n">
        <x:f>H16+H18-H21-H25</x:f>
        <x:v>6138.912608288812</x:v>
      </x:c>
      <x:c r="I28" s="59" t="n">
        <x:f>I16+I18-I21-I25</x:f>
        <x:v>8512.04077889851</x:v>
      </x:c>
      <x:c r="J28" s="59" t="n">
        <x:f>J16+J18-J21-J25</x:f>
        <x:v>8429.740416777842</x:v>
      </x:c>
      <x:c r="K28" s="59" t="n">
        <x:f>K16+K18-K21-K25</x:f>
        <x:v>9659.043889280269</x:v>
      </x:c>
      <x:c r="L28" s="59" t="n">
        <x:f>L16+L18-L21-L25</x:f>
        <x:v>11251.033940666077</x:v>
      </x:c>
      <x:c r="M28" s="59" t="n">
        <x:f>M16+M18-M21-M25</x:f>
        <x:v>12860.311825504818</x:v>
      </x:c>
      <x:c r="N28" s="59" t="n">
        <x:f>N16+N18-N21-N25</x:f>
        <x:v>14586.667857646362</x:v>
      </x:c>
      <x:c r="O28" s="59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49" t="n">
        <x:f>E28/E6</x:f>
        <x:v>0.12442227470441818</x:v>
      </x:c>
      <x:c r="F29" s="49" t="n">
        <x:f>F28/F6</x:f>
        <x:v>0.11012081001617714</x:v>
      </x:c>
      <x:c r="G29" s="49" t="n">
        <x:f>G28/G6</x:f>
        <x:v>0.058921398028468464</x:v>
      </x:c>
      <x:c r="H29" s="49" t="n">
        <x:f>H28/H6</x:f>
        <x:v>0.11666965978534209</x:v>
      </x:c>
      <x:c r="I29" s="49" t="n">
        <x:f>I28/I6</x:f>
        <x:v>0.13543681966114593</x:v>
      </x:c>
      <x:c r="J29" s="49" t="n">
        <x:f>J28/J6</x:f>
        <x:v>0.12100300642258888</x:v>
      </x:c>
      <x:c r="K29" s="49" t="n">
        <x:f>K28/K6</x:f>
        <x:v>0.12345886188089401</x:v>
      </x:c>
      <x:c r="L29" s="49" t="n">
        <x:f>L28/L6</x:f>
        <x:v>0.12816449154452134</x:v>
      </x:c>
      <x:c r="M29" s="49" t="n">
        <x:f>M28/M6</x:f>
        <x:v>0.1310803790125035</x:v>
      </x:c>
      <x:c r="N29" s="49" t="n">
        <x:f>N28/N6</x:f>
        <x:v>0.13406437519831507</x:v>
      </x:c>
      <x:c r="O29" s="49" t="n">
        <x:f>O28/O6</x:f>
        <x:v>0.1339899576738706</x:v>
      </x:c>
    </x:row>
    <x:row r="30" ht="15" hidden="0" customHeight="1">
      <x:c r="C30" s="2" t="str"/>
      <x:c r="D30" s="2" t="str"/>
      <x:c r="E30" s="52"/>
      <x:c r="F30" s="52"/>
      <x:c r="G30" s="52"/>
      <x:c r="H30" s="52"/>
      <x:c r="I30" s="52"/>
      <x:c r="J30" s="53"/>
      <x:c r="K30" s="53"/>
      <x:c r="L30" s="53"/>
      <x:c r="M30" s="53"/>
      <x:c r="N30" s="53"/>
      <x:c r="O30" s="53"/>
    </x:row>
    <x:row r="31" ht="15" hidden="0" customHeight="1">
      <x:c r="C31" s="2" t="str">
        <x:v>Operating cash flow</x:v>
      </x:c>
      <x:c r="D31" s="2" t="str">
        <x:v>VND bn</x:v>
      </x:c>
      <x:c r="E31" s="52" t="n">
        <x:v>6339.679033336</x:v>
      </x:c>
      <x:c r="F31" s="52" t="n">
        <x:v>5839.693554727</x:v>
      </x:c>
      <x:c r="G31" s="52" t="n">
        <x:v>5053.8317567</x:v>
      </x:c>
      <x:c r="H31" s="52" t="n">
        <x:v>9517.095698405</x:v>
      </x:c>
      <x:c r="I31" s="52" t="n">
        <x:v>11703.777188868</x:v>
      </x:c>
      <x:c r="J31" s="53"/>
      <x:c r="K31" s="53"/>
      <x:c r="L31" s="53"/>
      <x:c r="M31" s="53"/>
      <x:c r="N31" s="53"/>
      <x:c r="O31" s="53"/>
    </x:row>
    <x:row r="32" ht="15" hidden="0" customHeight="1">
      <x:c r="C32" s="2" t="str">
        <x:v>Interest paid</x:v>
      </x:c>
      <x:c r="D32" s="2" t="str">
        <x:v>VND bn</x:v>
      </x:c>
      <x:c r="E32" s="52" t="n">
        <x:v>401.913784732</x:v>
      </x:c>
      <x:c r="F32" s="52" t="n">
        <x:v>451.555665838</x:v>
      </x:c>
      <x:c r="G32" s="52" t="n">
        <x:v>635.688969538</x:v>
      </x:c>
      <x:c r="H32" s="52" t="n">
        <x:v>832.038375945</x:v>
      </x:c>
      <x:c r="I32" s="52" t="n">
        <x:v>607.154747076</x:v>
      </x:c>
      <x:c r="J32" s="53"/>
      <x:c r="K32" s="53"/>
      <x:c r="L32" s="53"/>
      <x:c r="M32" s="53"/>
      <x:c r="N32" s="53"/>
      <x:c r="O32" s="53"/>
    </x:row>
    <x:row r="33" ht="15" hidden="0" customHeight="1">
      <x:c r="C33" s="58" t="str">
        <x:v>CFO-based unlevered FCF proxy</x:v>
      </x:c>
      <x:c r="D33" s="58" t="str">
        <x:v>VND bn</x:v>
      </x:c>
      <x:c r="E33" s="59" t="n">
        <x:f>E31+E32*(1-E14)-E21</x:f>
        <x:v>3659.8277018335807</x:v>
      </x:c>
      <x:c r="F33" s="59" t="n">
        <x:f>F31+F32*(1-F14)-F21</x:f>
        <x:v>3309.8551563593087</x:v>
      </x:c>
      <x:c r="G33" s="59" t="n">
        <x:f>G31+G32*(1-G14)-G21</x:f>
        <x:v>2377.132580941414</x:v>
      </x:c>
      <x:c r="H33" s="59" t="n">
        <x:f>H31+H32*(1-H14)-H21</x:f>
        <x:v>6242.956617423741</x:v>
      </x:c>
      <x:c r="I33" s="59" t="n">
        <x:f>I31+I32*(1-I14)-I21</x:f>
        <x:v>8945.544970946083</x:v>
      </x:c>
      <x:c r="J33" s="59"/>
      <x:c r="K33" s="59"/>
      <x:c r="L33" s="59"/>
      <x:c r="M33" s="59"/>
      <x:c r="N33" s="59"/>
      <x:c r="O33" s="59"/>
    </x:row>
    <x:row r="34" ht="15" hidden="0" customHeight="1">
      <x:c r="C34" s="2" t="str">
        <x:v>Difference to FCFF</x:v>
      </x:c>
      <x:c r="D34" s="2" t="str">
        <x:v>VND bn</x:v>
      </x:c>
      <x:c r="E34" s="53" t="n">
        <x:f>E33-E28</x:f>
        <x:v>-51.738645931369774</x:v>
      </x:c>
      <x:c r="F34" s="53" t="n">
        <x:f>F33-F28</x:f>
        <x:v>-616.7515281605529</x:v>
      </x:c>
      <x:c r="G34" s="53" t="n">
        <x:f>G33-G28</x:f>
        <x:v>-215.97033539161384</x:v>
      </x:c>
      <x:c r="H34" s="53" t="n">
        <x:f>H33-H28</x:f>
        <x:v>104.04400913492827</x:v>
      </x:c>
      <x:c r="I34" s="53" t="n">
        <x:f>I33-I28</x:f>
        <x:v>433.50419204757236</x:v>
      </x:c>
      <x:c r="J34" s="53"/>
      <x:c r="K34" s="53"/>
      <x:c r="L34" s="53"/>
      <x:c r="M34" s="53"/>
      <x:c r="N34" s="53"/>
      <x:c r="O34" s="53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6" hidden="0" customWidth="1"/>
    <x:col min="5" max="5" width="18" hidden="0" customWidth="1"/>
    <x:col min="6" max="6" width="58" hidden="0" customWidth="1"/>
  </x:cols>
  <x:sheetData>
    <x:row r="2" ht="18" hidden="0" customHeight="1">
      <x:c r="C2" s="3" t="str">
        <x:v>FPT balance-sheet inputs at 30 September 2025</x:v>
      </x:c>
      <x:c r="D2" s="2"/>
      <x:c r="E2" s="2"/>
      <x:c r="F2" s="2"/>
      <x:c r="G2" s="2"/>
    </x:row>
    <x:row r="3" ht="15" hidden="0" customHeight="1">
      <x:c r="C3" s="4" t="str">
        <x:v>Consolidated reported values available before the 31-Oct-2025 valuation date. VND billion unless stated otherwise.</x:v>
      </x:c>
      <x:c r="D3" s="2"/>
      <x:c r="E3" s="2"/>
      <x:c r="F3" s="2"/>
      <x:c r="G3" s="2"/>
    </x:row>
    <x:row r="4" ht="15" hidden="0" customHeight="1">
      <x:c r="C4" s="5"/>
      <x:c r="D4" s="5"/>
      <x:c r="E4" s="5"/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30-Sep-2025</x:v>
      </x:c>
      <x:c r="F5" s="23" t="str">
        <x:v>Source / report page</x:v>
      </x:c>
      <x:c r="G5" s="2"/>
    </x:row>
    <x:row r="6" ht="24" hidden="0" customHeight="1">
      <x:c r="C6" s="2" t="str">
        <x:v>Cash and cash equivalents</x:v>
      </x:c>
      <x:c r="D6" s="2" t="str">
        <x:v>VND bn</x:v>
      </x:c>
      <x:c r="E6" s="52" t="n">
        <x:v>9853.51273137</x:v>
      </x:c>
      <x:c r="F6" s="55" t="str">
        <x:v>FPT Q3 2025 consolidated FS, balance sheet p. 2</x:v>
      </x:c>
      <x:c r="G6" s="2"/>
    </x:row>
    <x:row r="7" ht="24" hidden="0" customHeight="1">
      <x:c r="C7" s="2" t="str">
        <x:v>Short-term financial investments</x:v>
      </x:c>
      <x:c r="D7" s="2" t="str">
        <x:v>VND bn</x:v>
      </x:c>
      <x:c r="E7" s="52" t="n">
        <x:v>27125.585559832</x:v>
      </x:c>
      <x:c r="F7" s="55" t="str">
        <x:v>FPT Q3 2025 consolidated FS, balance sheet p. 2</x:v>
      </x:c>
      <x:c r="G7" s="2"/>
    </x:row>
    <x:row r="8" ht="24" hidden="0" customHeight="1">
      <x:c r="C8" s="2" t="str">
        <x:v>Investment in associates and joint ventures</x:v>
      </x:c>
      <x:c r="D8" s="2" t="str">
        <x:v>VND bn</x:v>
      </x:c>
      <x:c r="E8" s="52" t="n">
        <x:v>2925.769962921</x:v>
      </x:c>
      <x:c r="F8" s="55" t="str">
        <x:v>FPT Q3 2025 consolidated FS, balance sheet p. 3</x:v>
      </x:c>
      <x:c r="G8" s="2"/>
    </x:row>
    <x:row r="9" ht="24" hidden="0" customHeight="1">
      <x:c r="C9" s="2" t="str">
        <x:v>Other long-term financial investments</x:v>
      </x:c>
      <x:c r="D9" s="2" t="str">
        <x:v>VND bn</x:v>
      </x:c>
      <x:c r="E9" s="52" t="n">
        <x:v>3467.604969734</x:v>
      </x:c>
      <x:c r="F9" s="55" t="str">
        <x:v>FPT Q3 2025 consolidated FS, balance sheet p. 3</x:v>
      </x:c>
      <x:c r="G9" s="2"/>
    </x:row>
    <x:row r="10" ht="24" hidden="0" customHeight="1">
      <x:c r="C10" s="2" t="str">
        <x:v>Provision for long-term financial investments</x:v>
      </x:c>
      <x:c r="D10" s="2" t="str">
        <x:v>VND bn</x:v>
      </x:c>
      <x:c r="E10" s="52" t="n">
        <x:v>-2411.392556617</x:v>
      </x:c>
      <x:c r="F10" s="55" t="str">
        <x:v>FPT Q3 2025 consolidated FS, balance sheet p. 3</x:v>
      </x:c>
      <x:c r="G10" s="2"/>
    </x:row>
    <x:row r="11" ht="24" hidden="0" customHeight="1">
      <x:c r="C11" s="2" t="str">
        <x:v>Short-term borrowings and finance leases</x:v>
      </x:c>
      <x:c r="D11" s="2" t="str">
        <x:v>VND bn</x:v>
      </x:c>
      <x:c r="E11" s="52" t="n">
        <x:v>16906.417104678</x:v>
      </x:c>
      <x:c r="F11" s="55" t="str">
        <x:v>FPT Q3 2025 consolidated FS, balance sheet p. 4</x:v>
      </x:c>
      <x:c r="G11" s="2"/>
    </x:row>
    <x:row r="12" ht="24" hidden="0" customHeight="1">
      <x:c r="C12" s="2" t="str">
        <x:v>Long-term borrowings and finance leases</x:v>
      </x:c>
      <x:c r="D12" s="2" t="str">
        <x:v>VND bn</x:v>
      </x:c>
      <x:c r="E12" s="52" t="n">
        <x:v>2681.43542229</x:v>
      </x:c>
      <x:c r="F12" s="55" t="str">
        <x:v>FPT Q3 2025 consolidated FS, balance sheet p. 4</x:v>
      </x:c>
      <x:c r="G12" s="2"/>
    </x:row>
    <x:row r="13" ht="24" hidden="0" customHeight="1">
      <x:c r="C13" s="2" t="str">
        <x:v>Non-controlling interests</x:v>
      </x:c>
      <x:c r="D13" s="2" t="str">
        <x:v>VND bn</x:v>
      </x:c>
      <x:c r="E13" s="52" t="n">
        <x:v>7039.652215035</x:v>
      </x:c>
      <x:c r="F13" s="55" t="str">
        <x:v>FPT Q3 2025 consolidated FS, balance sheet p. 5</x:v>
      </x:c>
      <x:c r="G13" s="2"/>
    </x:row>
    <x:row r="14" ht="24" hidden="0" customHeight="1">
      <x:c r="C14" s="2" t="str">
        <x:v>Shares outstanding</x:v>
      </x:c>
      <x:c r="D14" s="2" t="str">
        <x:v>million shares</x:v>
      </x:c>
      <x:c r="E14" s="52" t="n">
        <x:v>1703.507121</x:v>
      </x:c>
      <x:c r="F14" s="55" t="str">
        <x:v>Contributed capital / VND10,000 par at 30-Sep-2025, balance sheet p. 5</x:v>
      </x:c>
      <x:c r="G14" s="2"/>
    </x:row>
    <x:row r="15" ht="24" hidden="0" customHeight="1">
      <x:c r="C15" s="2" t="str">
        <x:v>Total assets</x:v>
      </x:c>
      <x:c r="D15" s="2" t="str">
        <x:v>VND bn</x:v>
      </x:c>
      <x:c r="E15" s="52" t="n">
        <x:v>82738.304930449</x:v>
      </x:c>
      <x:c r="F15" s="55" t="str">
        <x:v>FPT Q3 2025 consolidated FS, balance sheet p. 3</x:v>
      </x:c>
      <x:c r="G15" s="2"/>
    </x:row>
    <x:row r="16" ht="24" hidden="0" customHeight="1">
      <x:c r="C16" s="2" t="str">
        <x:v>Total liabilities</x:v>
      </x:c>
      <x:c r="D16" s="2" t="str">
        <x:v>VND bn</x:v>
      </x:c>
      <x:c r="E16" s="52" t="n">
        <x:v>39907.781019976</x:v>
      </x:c>
      <x:c r="F16" s="55" t="str">
        <x:v>FPT Q3 2025 consolidated FS, balance sheet p. 4</x:v>
      </x:c>
      <x:c r="G16" s="2"/>
    </x:row>
    <x:row r="17" ht="24" hidden="0" customHeight="1">
      <x:c r="C17" s="2" t="str">
        <x:v>Total equity and other funds</x:v>
      </x:c>
      <x:c r="D17" s="2" t="str">
        <x:v>VND bn</x:v>
      </x:c>
      <x:c r="E17" s="52" t="n">
        <x:v>42830.523910473</x:v>
      </x:c>
      <x:c r="F17" s="55" t="str">
        <x:v>FPT Q3 2025 consolidated FS, balance sheet p. 5</x:v>
      </x:c>
      <x:c r="G17" s="2"/>
    </x:row>
    <x:row r="18" ht="24" hidden="0" customHeight="1">
      <x:c r="C18" s="2" t="str">
        <x:v>Balance-sheet check</x:v>
      </x:c>
      <x:c r="D18" s="2" t="str">
        <x:v>VND bn</x:v>
      </x:c>
      <x:c r="E18" s="54" t="n">
        <x:f>ROUND(E15-E16-E17,3)</x:f>
        <x:v>0</x:v>
      </x:c>
      <x:c r="F18" s="55" t="str">
        <x:v>Total assets less liabilities and equity</x:v>
      </x:c>
      <x:c r="G18" s="2"/>
    </x:row>
    <x:row r="19" ht="15" hidden="0" customHeight="1">
      <x:c r="C19" s="2"/>
      <x:c r="D19" s="2"/>
      <x:c r="E19" s="2"/>
      <x:c r="F19" s="2"/>
      <x:c r="G19" s="2"/>
    </x:row>
    <x:row r="20" ht="15" hidden="0" customHeight="1">
      <x:c r="C20" s="2"/>
      <x:c r="D20" s="2"/>
      <x:c r="E20" s="2"/>
      <x:c r="F20" s="2"/>
      <x:c r="G20" s="2"/>
    </x:row>
    <x:row r="21" ht="15" hidden="0" customHeight="1">
      <x:c r="C21" s="2"/>
      <x:c r="D21" s="2"/>
      <x:c r="E21" s="2"/>
      <x:c r="F21" s="2"/>
      <x:c r="G21" s="2"/>
    </x:row>
    <x:row r="22" ht="15" hidden="0" customHeight="1">
      <x:c r="C22" s="2"/>
      <x:c r="D22" s="2"/>
      <x:c r="E22" s="2"/>
      <x:c r="F22" s="2"/>
      <x:c r="G22" s="2"/>
    </x:row>
    <x:row r="23" ht="15" hidden="0" customHeight="1">
      <x:c r="C23" s="2"/>
      <x:c r="D23" s="2"/>
      <x:c r="E23" s="2"/>
      <x:c r="F23" s="2"/>
      <x:c r="G23" s="2"/>
    </x:row>
    <x:row r="24" ht="15" hidden="0" customHeight="1">
      <x:c r="C24" s="2"/>
      <x:c r="D24" s="2"/>
      <x:c r="E24" s="2"/>
      <x:c r="F24" s="2"/>
      <x:c r="G24" s="2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18:E18">
    <x:cfRule type="expression" dxfId="0" priority="1">
      <x:formula>ABS(E18)&gt;0.01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n">
        <x:v>2020</x:v>
      </x:c>
      <x:c r="F5" s="22" t="n">
        <x:v>2021</x:v>
      </x:c>
      <x:c r="G5" s="22" t="n">
        <x:v>2022</x:v>
      </x:c>
      <x:c r="H5" s="22" t="n">
        <x:v>2023</x:v>
      </x:c>
      <x:c r="I5" s="23" t="n">
        <x:v>2024</x:v>
      </x:c>
      <x:c r="J5" s="2"/>
    </x:row>
    <x:row r="6" ht="15" hidden="0" customHeight="1">
      <x:c r="C6" s="2" t="str">
        <x:v>Net revenue</x:v>
      </x:c>
      <x:c r="D6" s="34" t="str">
        <x:v>VND bn</x:v>
      </x:c>
      <x:c r="E6" s="52" t="n">
        <x:v>29830.400526824</x:v>
      </x:c>
      <x:c r="F6" s="52" t="n">
        <x:v>35657.262545027</x:v>
      </x:c>
      <x:c r="G6" s="52" t="n">
        <x:v>44009.527680911</x:v>
      </x:c>
      <x:c r="H6" s="52" t="n">
        <x:v>52617.900827385</x:v>
      </x:c>
      <x:c r="I6" s="52" t="n">
        <x:v>62848.794351367</x:v>
      </x:c>
      <x:c r="J6" s="2"/>
    </x:row>
    <x:row r="7" ht="15" hidden="0" customHeight="1">
      <x:c r="C7" s="2" t="str">
        <x:v>Gross profit</x:v>
      </x:c>
      <x:c r="D7" s="34" t="str">
        <x:v>VND bn</x:v>
      </x:c>
      <x:c r="E7" s="52" t="n">
        <x:v>11617.339725623</x:v>
      </x:c>
      <x:c r="F7" s="52" t="n">
        <x:v>13631.964236778</x:v>
      </x:c>
      <x:c r="G7" s="52" t="n">
        <x:v>17167.278641198</x:v>
      </x:c>
      <x:c r="H7" s="52" t="n">
        <x:v>20319.553444682</x:v>
      </x:c>
      <x:c r="I7" s="52" t="n">
        <x:v>23698.348369916</x:v>
      </x:c>
      <x:c r="J7" s="2"/>
    </x:row>
    <x:row r="8" ht="15" hidden="0" customHeight="1">
      <x:c r="C8" s="2" t="str">
        <x:v>Net operating profit</x:v>
      </x:c>
      <x:c r="D8" s="34" t="str">
        <x:v>VND bn</x:v>
      </x:c>
      <x:c r="E8" s="52" t="n">
        <x:v>5190.654463931</x:v>
      </x:c>
      <x:c r="F8" s="52" t="n">
        <x:v>6228.494136764</x:v>
      </x:c>
      <x:c r="G8" s="52" t="n">
        <x:v>7589.289622311</x:v>
      </x:c>
      <x:c r="H8" s="52" t="n">
        <x:v>9111.745534433</x:v>
      </x:c>
      <x:c r="I8" s="52" t="n">
        <x:v>11025.080772955</x:v>
      </x:c>
      <x:c r="J8" s="2"/>
    </x:row>
    <x:row r="9" ht="15" hidden="0" customHeight="1">
      <x:c r="C9" s="2" t="str">
        <x:v>Profit before tax</x:v>
      </x:c>
      <x:c r="D9" s="34" t="str">
        <x:v>VND bn</x:v>
      </x:c>
      <x:c r="E9" s="52" t="n">
        <x:v>5263.456629967</x:v>
      </x:c>
      <x:c r="F9" s="52" t="n">
        <x:v>6337.206440958</x:v>
      </x:c>
      <x:c r="G9" s="52" t="n">
        <x:v>7662.28295988</x:v>
      </x:c>
      <x:c r="H9" s="52" t="n">
        <x:v>9203.00609857</x:v>
      </x:c>
      <x:c r="I9" s="52" t="n">
        <x:v>11069.666417819</x:v>
      </x:c>
      <x:c r="J9" s="2"/>
    </x:row>
    <x:row r="10" ht="15" hidden="0" customHeight="1">
      <x:c r="C10" s="2" t="str">
        <x:v>Profit after tax</x:v>
      </x:c>
      <x:c r="D10" s="34" t="str">
        <x:v>VND bn</x:v>
      </x:c>
      <x:c r="E10" s="52" t="n">
        <x:v>4423.745217598</x:v>
      </x:c>
      <x:c r="F10" s="52" t="n">
        <x:v>5349.301099496</x:v>
      </x:c>
      <x:c r="G10" s="52" t="n">
        <x:v>6491.343454469</x:v>
      </x:c>
      <x:c r="H10" s="52" t="n">
        <x:v>7788.049739616</x:v>
      </x:c>
      <x:c r="I10" s="52" t="n">
        <x:v>9427.422530444</x:v>
      </x:c>
      <x:c r="J10" s="2"/>
    </x:row>
    <x:row r="11" ht="15" hidden="0" customHeight="1">
      <x:c r="C11" s="2" t="str">
        <x:v>  Parent profit after tax</x:v>
      </x:c>
      <x:c r="D11" s="34" t="str">
        <x:v>VND bn</x:v>
      </x:c>
      <x:c r="E11" s="52" t="n">
        <x:v>3538.007738822</x:v>
      </x:c>
      <x:c r="F11" s="52" t="n">
        <x:v>4337.411879802</x:v>
      </x:c>
      <x:c r="G11" s="52" t="n">
        <x:v>5310.108591408</x:v>
      </x:c>
      <x:c r="H11" s="52" t="n">
        <x:v>6465.190432622</x:v>
      </x:c>
      <x:c r="I11" s="52" t="n">
        <x:v>7856.767812178</x:v>
      </x:c>
      <x:c r="J11" s="2"/>
    </x:row>
    <x:row r="12" ht="15" hidden="0" customHeight="1">
      <x:c r="C12" s="2" t="str">
        <x:v>  NCI profit after tax</x:v>
      </x:c>
      <x:c r="D12" s="34" t="str">
        <x:v>VND bn</x:v>
      </x:c>
      <x:c r="E12" s="52" t="n">
        <x:v>885.737478776</x:v>
      </x:c>
      <x:c r="F12" s="52" t="n">
        <x:v>1011.889219694</x:v>
      </x:c>
      <x:c r="G12" s="52" t="n">
        <x:v>1181.234863061</x:v>
      </x:c>
      <x:c r="H12" s="52" t="n">
        <x:v>1322.859306994</x:v>
      </x:c>
      <x:c r="I12" s="52" t="n">
        <x:v>1570.654718266</x:v>
      </x:c>
      <x:c r="J12" s="2"/>
    </x:row>
    <x:row r="13" ht="15" hidden="0" customHeight="1">
      <x:c r="C13" s="2" t="str">
        <x:v>Operating cash flow</x:v>
      </x:c>
      <x:c r="D13" s="34" t="str">
        <x:v>VND bn</x:v>
      </x:c>
      <x:c r="E13" s="52" t="n">
        <x:v>6339.679033336</x:v>
      </x:c>
      <x:c r="F13" s="52" t="n">
        <x:v>5839.693554727</x:v>
      </x:c>
      <x:c r="G13" s="52" t="n">
        <x:v>5053.8317567</x:v>
      </x:c>
      <x:c r="H13" s="52" t="n">
        <x:v>9517.095698405</x:v>
      </x:c>
      <x:c r="I13" s="52" t="n">
        <x:v>11703.777188868</x:v>
      </x:c>
      <x:c r="J13" s="2"/>
    </x:row>
    <x:row r="14" ht="15" hidden="0" customHeight="1">
      <x:c r="C14" s="2" t="str">
        <x:v>Capital expenditure purchases</x:v>
      </x:c>
      <x:c r="D14" s="34" t="str">
        <x:v>VND bn</x:v>
      </x:c>
      <x:c r="E14" s="52" t="n">
        <x:v>3017.645357713</x:v>
      </x:c>
      <x:c r="F14" s="52" t="n">
        <x:v>2911.001172725</x:v>
      </x:c>
      <x:c r="G14" s="52" t="n">
        <x:v>3215.243200871</x:v>
      </x:c>
      <x:c r="H14" s="52" t="n">
        <x:v>3978.252082224</x:v>
      </x:c>
      <x:c r="I14" s="52" t="n">
        <x:v>3275.312325702</x:v>
      </x:c>
      <x:c r="J14" s="2"/>
    </x:row>
    <x:row r="15" ht="15" hidden="0" customHeight="1">
      <x:c r="C15" s="2" t="str">
        <x:v>Dividends paid</x:v>
      </x:c>
      <x:c r="D15" s="34" t="str">
        <x:v>VND bn</x:v>
      </x:c>
      <x:c r="E15" s="52" t="n">
        <x:v>1899.079382925</x:v>
      </x:c>
      <x:c r="F15" s="52" t="n">
        <x:v>2254.183945975</x:v>
      </x:c>
      <x:c r="G15" s="52" t="n">
        <x:v>2222.134795995</x:v>
      </x:c>
      <x:c r="H15" s="52" t="n">
        <x:v>2930.628448135</x:v>
      </x:c>
      <x:c r="I15" s="52" t="n">
        <x:v>3291.859792121</x:v>
      </x:c>
      <x:c r="J15" s="2"/>
    </x:row>
    <x:row r="16" ht="15" hidden="0" customHeight="1">
      <x:c r="C16" s="2" t="str">
        <x:v>Cash and equivalents</x:v>
      </x:c>
      <x:c r="D16" s="34" t="str">
        <x:v>VND bn</x:v>
      </x:c>
      <x:c r="E16" s="52" t="n">
        <x:v>4686.191374038</x:v>
      </x:c>
      <x:c r="F16" s="52" t="n">
        <x:v>5417.845293242</x:v>
      </x:c>
      <x:c r="G16" s="52" t="n">
        <x:v>6440.177174322</x:v>
      </x:c>
      <x:c r="H16" s="52" t="n">
        <x:v>8279.156683221</x:v>
      </x:c>
      <x:c r="I16" s="52" t="n">
        <x:v>9315.440438884</x:v>
      </x:c>
      <x:c r="J16" s="2"/>
    </x:row>
    <x:row r="17" ht="15" hidden="0" customHeight="1">
      <x:c r="C17" s="2" t="str">
        <x:v>Short-term investments</x:v>
      </x:c>
      <x:c r="D17" s="34" t="str">
        <x:v>VND bn</x:v>
      </x:c>
      <x:c r="E17" s="52" t="n">
        <x:v>12435.918124269</x:v>
      </x:c>
      <x:c r="F17" s="52" t="n">
        <x:v>20730.720735456</x:v>
      </x:c>
      <x:c r="G17" s="52" t="n">
        <x:v>13047.23413195</x:v>
      </x:c>
      <x:c r="H17" s="52" t="n">
        <x:v>16104.20535801</x:v>
      </x:c>
      <x:c r="I17" s="52" t="n">
        <x:v>21785.213686808</x:v>
      </x:c>
      <x:c r="J17" s="2"/>
    </x:row>
    <x:row r="18" ht="15" hidden="0" customHeight="1">
      <x:c r="C18" s="2" t="str">
        <x:v>Trade receivables, net</x:v>
      </x:c>
      <x:c r="D18" s="34" t="str">
        <x:v>VND bn</x:v>
      </x:c>
      <x:c r="E18" s="52" t="n">
        <x:v>5564.392191491</x:v>
      </x:c>
      <x:c r="F18" s="52" t="n">
        <x:v>6211.956510246</x:v>
      </x:c>
      <x:c r="G18" s="52" t="n">
        <x:v>7990.076948983</x:v>
      </x:c>
      <x:c r="H18" s="52" t="n">
        <x:v>9057.647206985</x:v>
      </x:c>
      <x:c r="I18" s="52" t="n">
        <x:v>10537.01911338</x:v>
      </x:c>
      <x:c r="J18" s="2"/>
    </x:row>
    <x:row r="19" ht="15" hidden="0" customHeight="1">
      <x:c r="C19" s="2" t="str">
        <x:v>Inventories, net</x:v>
      </x:c>
      <x:c r="D19" s="34" t="str">
        <x:v>VND bn</x:v>
      </x:c>
      <x:c r="E19" s="52" t="n">
        <x:v>1290.091524352</x:v>
      </x:c>
      <x:c r="F19" s="52" t="n">
        <x:v>1507.342901619</x:v>
      </x:c>
      <x:c r="G19" s="52" t="n">
        <x:v>1965.787736563</x:v>
      </x:c>
      <x:c r="H19" s="52" t="n">
        <x:v>1593.411075233</x:v>
      </x:c>
      <x:c r="I19" s="52" t="n">
        <x:v>1856.75694903</x:v>
      </x:c>
      <x:c r="J19" s="2"/>
    </x:row>
    <x:row r="20" ht="15" hidden="0" customHeight="1">
      <x:c r="C20" s="2" t="str">
        <x:v>Total assets</x:v>
      </x:c>
      <x:c r="D20" s="34" t="str">
        <x:v>VND bn</x:v>
      </x:c>
      <x:c r="E20" s="52" t="n">
        <x:v>41734.323235194</x:v>
      </x:c>
      <x:c r="F20" s="52" t="n">
        <x:v>53697.940895875</x:v>
      </x:c>
      <x:c r="G20" s="52" t="n">
        <x:v>51650.40373513</x:v>
      </x:c>
      <x:c r="H20" s="52" t="n">
        <x:v>60282.827532899</x:v>
      </x:c>
      <x:c r="I20" s="52" t="n">
        <x:v>71999.99567862</x:v>
      </x:c>
      <x:c r="J20" s="2"/>
    </x:row>
    <x:row r="21" ht="15" hidden="0" customHeight="1">
      <x:c r="C21" s="2" t="str">
        <x:v>Total liabilities</x:v>
      </x:c>
      <x:c r="D21" s="34" t="str">
        <x:v>VND bn</x:v>
      </x:c>
      <x:c r="E21" s="52" t="n">
        <x:v>23128.655834466</x:v>
      </x:c>
      <x:c r="F21" s="52" t="n">
        <x:v>32279.955665838</x:v>
      </x:c>
      <x:c r="G21" s="52" t="n">
        <x:v>26294.279047318</x:v>
      </x:c>
      <x:c r="H21" s="52" t="n">
        <x:v>30349.816316666</x:v>
      </x:c>
      <x:c r="I21" s="52" t="n">
        <x:v>36272.45557382</x:v>
      </x:c>
      <x:c r="J21" s="2"/>
    </x:row>
    <x:row r="22" ht="15" hidden="0" customHeight="1">
      <x:c r="C22" s="2" t="str">
        <x:v>Short-term borrowings</x:v>
      </x:c>
      <x:c r="D22" s="34" t="str">
        <x:v>VND bn</x:v>
      </x:c>
      <x:c r="E22" s="52" t="n">
        <x:v>12062.41019274</x:v>
      </x:c>
      <x:c r="F22" s="52" t="n">
        <x:v>17799.441187777</x:v>
      </x:c>
      <x:c r="G22" s="52" t="n">
        <x:v>10904.344845014</x:v>
      </x:c>
      <x:c r="H22" s="52" t="n">
        <x:v>13837.894474107</x:v>
      </x:c>
      <x:c r="I22" s="52" t="n">
        <x:v>14446.238451323</x:v>
      </x:c>
      <x:c r="J22" s="2"/>
    </x:row>
    <x:row r="23" ht="15" hidden="0" customHeight="1">
      <x:c r="C23" s="2" t="str">
        <x:v>Long-term borrowings</x:v>
      </x:c>
      <x:c r="D23" s="34" t="str">
        <x:v>VND bn</x:v>
      </x:c>
      <x:c r="E23" s="52" t="n">
        <x:v>677.796913413</x:v>
      </x:c>
      <x:c r="F23" s="52" t="n">
        <x:v>2296.308493046</x:v>
      </x:c>
      <x:c r="G23" s="52" t="n">
        <x:v>1477.83033399</x:v>
      </x:c>
      <x:c r="H23" s="52" t="n">
        <x:v>208.074996962</x:v>
      </x:c>
      <x:c r="I23" s="52" t="n">
        <x:v>501.115537075</x:v>
      </x:c>
      <x:c r="J23" s="2"/>
    </x:row>
    <x:row r="24" ht="15" hidden="0" customHeight="1">
      <x:c r="C24" s="2" t="str">
        <x:v>Total owners' equity</x:v>
      </x:c>
      <x:c r="D24" s="34" t="str">
        <x:v>VND bn</x:v>
      </x:c>
      <x:c r="E24" s="52" t="n">
        <x:v>18605.667400728</x:v>
      </x:c>
      <x:c r="F24" s="52" t="n">
        <x:v>21417.985230037</x:v>
      </x:c>
      <x:c r="G24" s="52" t="n">
        <x:v>25356.124687812</x:v>
      </x:c>
      <x:c r="H24" s="52" t="n">
        <x:v>29933.011216233</x:v>
      </x:c>
      <x:c r="I24" s="52" t="n">
        <x:v>35727.5401048</x:v>
      </x:c>
      <x:c r="J24" s="2"/>
    </x:row>
    <x:row r="25" ht="15" hidden="0" customHeight="1">
      <x:c r="C25" s="2" t="str">
        <x:v>  NCI equity</x:v>
      </x:c>
      <x:c r="D25" s="34" t="str">
        <x:v>VND bn</x:v>
      </x:c>
      <x:c r="E25" s="52" t="n">
        <x:v>2860.094124424</x:v>
      </x:c>
      <x:c r="F25" s="52" t="n">
        <x:v>3477.041138837</x:v>
      </x:c>
      <x:c r="G25" s="52" t="n">
        <x:v>4309.656273198</x:v>
      </x:c>
      <x:c r="H25" s="52" t="n">
        <x:v>4958.854855687</x:v>
      </x:c>
      <x:c r="I25" s="52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35" t="str">
        <x:v>Reconciliation checks (VND billion)</x:v>
      </x:c>
      <x:c r="D28" s="36" t="str">
        <x:v>Reconciliation checks (VND billion)</x:v>
      </x:c>
      <x:c r="E28" s="36" t="str">
        <x:v>Reconciliation checks (VND billion)</x:v>
      </x:c>
      <x:c r="F28" s="36" t="str">
        <x:v>Reconciliation checks (VND billion)</x:v>
      </x:c>
      <x:c r="G28" s="36" t="str">
        <x:v>Reconciliation checks (VND billion)</x:v>
      </x:c>
      <x:c r="H28" s="36" t="str">
        <x:v>Reconciliation checks (VND billion)</x:v>
      </x:c>
      <x:c r="I28" s="37" t="str">
        <x:v>Reconciliation checks (VND billion)</x:v>
      </x:c>
      <x:c r="J28" s="2"/>
    </x:row>
    <x:row r="29" ht="15" hidden="0" customHeight="1">
      <x:c r="C29" s="21" t="str">
        <x:v>Check</x:v>
      </x:c>
      <x:c r="D29" s="22" t="str">
        <x:v>Tolerance</x:v>
      </x:c>
      <x:c r="E29" s="22" t="n">
        <x:v>2020</x:v>
      </x:c>
      <x:c r="F29" s="22" t="n">
        <x:v>2021</x:v>
      </x:c>
      <x:c r="G29" s="22" t="n">
        <x:v>2022</x:v>
      </x:c>
      <x:c r="H29" s="22" t="n">
        <x:v>2023</x:v>
      </x:c>
      <x:c r="I29" s="23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94" t="n">
        <x:f>ROUND(E20-E21-E24,2)</x:f>
        <x:v>0</x:v>
      </x:c>
      <x:c r="F30" s="94" t="n">
        <x:f>ROUND(F20-F21-F24,2)</x:f>
        <x:v>0</x:v>
      </x:c>
      <x:c r="G30" s="94" t="n">
        <x:f>ROUND(G20-G21-G24,2)</x:f>
        <x:v>0</x:v>
      </x:c>
      <x:c r="H30" s="94" t="n">
        <x:f>ROUND(H20-H21-H24,2)</x:f>
        <x:v>0</x:v>
      </x:c>
      <x:c r="I30" s="94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94" t="n">
        <x:f>ROUND(E10-E11-E12,2)</x:f>
        <x:v>0</x:v>
      </x:c>
      <x:c r="F31" s="94" t="n">
        <x:f>ROUND(F10-F11-F12,2)</x:f>
        <x:v>0</x:v>
      </x:c>
      <x:c r="G31" s="94" t="n">
        <x:f>ROUND(G10-G11-G12,2)</x:f>
        <x:v>0</x:v>
      </x:c>
      <x:c r="H31" s="94" t="n">
        <x:f>ROUND(H10-H11-H12,2)</x:f>
        <x:v>0</x:v>
      </x:c>
      <x:c r="I31" s="94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92" t="str">
        <x:v>Source pages</x:v>
      </x:c>
      <x:c r="D34" s="92" t="str"/>
      <x:c r="E34" s="92" t="str">
        <x:v>fpt_ar_2021 pp. 72-75</x:v>
      </x:c>
      <x:c r="F34" s="92" t="str">
        <x:v>fpt_ar_2021 pp. 72-75</x:v>
      </x:c>
      <x:c r="G34" s="92" t="str">
        <x:v>fpt_ar_2022 pp. 71-74</x:v>
      </x:c>
      <x:c r="H34" s="92" t="str">
        <x:v>fpt_ar_2023 pp. 143-151</x:v>
      </x:c>
      <x:c r="I34" s="92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28:I28"/>
  </x:mergeCells>
  <x:conditionalFormatting sqref="E30:I31">
    <x:cfRule type="expression" dxfId="1" priority="1">
      <x:formula>ABS(E30)&gt;$D30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Period</x:v>
      </x:c>
      <x:c r="D5" s="22" t="str">
        <x:v>Metric</x:v>
      </x:c>
      <x:c r="E5" s="22" t="str">
        <x:v>Segment</x:v>
      </x:c>
      <x:c r="F5" s="22" t="str">
        <x:v>Value</x:v>
      </x:c>
      <x:c r="G5" s="22" t="str">
        <x:v>Unit</x:v>
      </x:c>
      <x:c r="H5" s="22" t="str">
        <x:v>Source</x:v>
      </x:c>
      <x:c r="I5" s="22" t="str">
        <x:v>Page</x:v>
      </x:c>
      <x:c r="J5" s="23" t="str">
        <x:v>Comparison note</x:v>
      </x:c>
    </x:row>
    <x:row r="6" ht="15" hidden="0" customHeight="1">
      <x:c r="C6" s="99" t="n">
        <x:v>45930</x:v>
      </x:c>
      <x:c r="D6" s="2" t="str">
        <x:v>revenue</x:v>
      </x:c>
      <x:c r="E6" s="2" t="str">
        <x:v>group</x:v>
      </x:c>
      <x:c r="F6" s="52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99" t="n">
        <x:v>45930</x:v>
      </x:c>
      <x:c r="D7" s="2" t="str">
        <x:v>profit_before_tax</x:v>
      </x:c>
      <x:c r="E7" s="2" t="str">
        <x:v>group</x:v>
      </x:c>
      <x:c r="F7" s="52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99" t="n">
        <x:v>45930</x:v>
      </x:c>
      <x:c r="D8" s="2" t="str">
        <x:v>profit_after_tax</x:v>
      </x:c>
      <x:c r="E8" s="2" t="str">
        <x:v>group</x:v>
      </x:c>
      <x:c r="F8" s="52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99" t="n">
        <x:v>45930</x:v>
      </x:c>
      <x:c r="D9" s="2" t="str">
        <x:v>parent_profit_after_tax</x:v>
      </x:c>
      <x:c r="E9" s="2" t="str">
        <x:v>group</x:v>
      </x:c>
      <x:c r="F9" s="52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99" t="n">
        <x:v>45930</x:v>
      </x:c>
      <x:c r="D10" s="2" t="str">
        <x:v>basic_eps</x:v>
      </x:c>
      <x:c r="E10" s="2" t="str">
        <x:v>group</x:v>
      </x:c>
      <x:c r="F10" s="52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99" t="n">
        <x:v>45930</x:v>
      </x:c>
      <x:c r="D11" s="2" t="str">
        <x:v>revenue</x:v>
      </x:c>
      <x:c r="E11" s="2" t="str">
        <x:v>technology_sector</x:v>
      </x:c>
      <x:c r="F11" s="52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99" t="n">
        <x:v>45930</x:v>
      </x:c>
      <x:c r="D12" s="2" t="str">
        <x:v>profit_before_tax</x:v>
      </x:c>
      <x:c r="E12" s="2" t="str">
        <x:v>technology_sector</x:v>
      </x:c>
      <x:c r="F12" s="52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99" t="n">
        <x:v>45930</x:v>
      </x:c>
      <x:c r="D13" s="2" t="str">
        <x:v>revenue</x:v>
      </x:c>
      <x:c r="E13" s="2" t="str">
        <x:v>telecommunications_sector</x:v>
      </x:c>
      <x:c r="F13" s="52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99" t="n">
        <x:v>45930</x:v>
      </x:c>
      <x:c r="D14" s="2" t="str">
        <x:v>profit_before_tax</x:v>
      </x:c>
      <x:c r="E14" s="2" t="str">
        <x:v>telecommunications_sector</x:v>
      </x:c>
      <x:c r="F14" s="52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99" t="n">
        <x:v>45930</x:v>
      </x:c>
      <x:c r="D15" s="2" t="str">
        <x:v>revenue</x:v>
      </x:c>
      <x:c r="E15" s="2" t="str">
        <x:v>education_investment_other</x:v>
      </x:c>
      <x:c r="F15" s="52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99" t="n">
        <x:v>45930</x:v>
      </x:c>
      <x:c r="D16" s="2" t="str">
        <x:v>profit_before_tax</x:v>
      </x:c>
      <x:c r="E16" s="2" t="str">
        <x:v>education_investment_other</x:v>
      </x:c>
      <x:c r="F16" s="52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99" t="n">
        <x:v>45930</x:v>
      </x:c>
      <x:c r="D17" s="2" t="str">
        <x:v>revenue</x:v>
      </x:c>
      <x:c r="E17" s="2" t="str">
        <x:v>global_it_services</x:v>
      </x:c>
      <x:c r="F17" s="52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99" t="n">
        <x:v>45930</x:v>
      </x:c>
      <x:c r="D18" s="2" t="str">
        <x:v>profit_before_tax</x:v>
      </x:c>
      <x:c r="E18" s="2" t="str">
        <x:v>global_it_services</x:v>
      </x:c>
      <x:c r="F18" s="52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99" t="n">
        <x:v>45930</x:v>
      </x:c>
      <x:c r="D19" s="2" t="str">
        <x:v>revenue</x:v>
      </x:c>
      <x:c r="E19" s="2" t="str">
        <x:v>domestic_it_services</x:v>
      </x:c>
      <x:c r="F19" s="52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99" t="n">
        <x:v>45930</x:v>
      </x:c>
      <x:c r="D20" s="2" t="str">
        <x:v>profit_before_tax</x:v>
      </x:c>
      <x:c r="E20" s="2" t="str">
        <x:v>domestic_it_services</x:v>
      </x:c>
      <x:c r="F20" s="52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99" t="n">
        <x:v>45930</x:v>
      </x:c>
      <x:c r="D21" s="2" t="str">
        <x:v>revenue</x:v>
      </x:c>
      <x:c r="E21" s="2" t="str">
        <x:v>telecom_services</x:v>
      </x:c>
      <x:c r="F21" s="52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99" t="n">
        <x:v>45930</x:v>
      </x:c>
      <x:c r="D22" s="2" t="str">
        <x:v>profit_before_tax</x:v>
      </x:c>
      <x:c r="E22" s="2" t="str">
        <x:v>telecom_services</x:v>
      </x:c>
      <x:c r="F22" s="52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99" t="n">
        <x:v>45930</x:v>
      </x:c>
      <x:c r="D23" s="2" t="str">
        <x:v>revenue</x:v>
      </x:c>
      <x:c r="E23" s="2" t="str">
        <x:v>online_advertising</x:v>
      </x:c>
      <x:c r="F23" s="52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99" t="n">
        <x:v>45930</x:v>
      </x:c>
      <x:c r="D24" s="2" t="str">
        <x:v>profit_before_tax</x:v>
      </x:c>
      <x:c r="E24" s="2" t="str">
        <x:v>online_advertising</x:v>
      </x:c>
      <x:c r="F24" s="52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99" t="n">
        <x:v>45930</x:v>
      </x:c>
      <x:c r="D25" s="2" t="str">
        <x:v>revenue</x:v>
      </x:c>
      <x:c r="E25" s="2" t="str">
        <x:v>digital_transformation_global_it</x:v>
      </x:c>
      <x:c r="F25" s="52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99" t="n">
        <x:v>45930</x:v>
      </x:c>
      <x:c r="D26" s="2" t="str">
        <x:v>revenue</x:v>
      </x:c>
      <x:c r="E26" s="2" t="str">
        <x:v>global_it_japan</x:v>
      </x:c>
      <x:c r="F26" s="52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99" t="n">
        <x:v>45930</x:v>
      </x:c>
      <x:c r="D27" s="2" t="str">
        <x:v>revenue</x:v>
      </x:c>
      <x:c r="E27" s="2" t="str">
        <x:v>global_it_us</x:v>
      </x:c>
      <x:c r="F27" s="52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99" t="n">
        <x:v>45930</x:v>
      </x:c>
      <x:c r="D28" s="2" t="str">
        <x:v>revenue</x:v>
      </x:c>
      <x:c r="E28" s="2" t="str">
        <x:v>global_it_eu</x:v>
      </x:c>
      <x:c r="F28" s="52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99" t="n">
        <x:v>45930</x:v>
      </x:c>
      <x:c r="D29" s="2" t="str">
        <x:v>revenue</x:v>
      </x:c>
      <x:c r="E29" s="2" t="str">
        <x:v>global_it_apac</x:v>
      </x:c>
      <x:c r="F29" s="52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99" t="n">
        <x:v>45930</x:v>
      </x:c>
      <x:c r="D30" s="2" t="str">
        <x:v>signed_revenue</x:v>
      </x:c>
      <x:c r="E30" s="2" t="str">
        <x:v>global_it_services</x:v>
      </x:c>
      <x:c r="F30" s="52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99" t="n">
        <x:v>45930</x:v>
      </x:c>
      <x:c r="D31" s="2" t="str">
        <x:v>client_count_revenue_ge_500k_usd</x:v>
      </x:c>
      <x:c r="E31" s="2" t="str">
        <x:v>global_it_services</x:v>
      </x:c>
      <x:c r="F31" s="52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99" t="n">
        <x:v>45930</x:v>
      </x:c>
      <x:c r="D32" s="2" t="str">
        <x:v>client_count_revenue_ge_1m_usd</x:v>
      </x:c>
      <x:c r="E32" s="2" t="str">
        <x:v>global_it_services</x:v>
      </x:c>
      <x:c r="F32" s="52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99" t="n">
        <x:v>45930</x:v>
      </x:c>
      <x:c r="D33" s="2" t="str">
        <x:v>deal_count_500k_to_1m_usd</x:v>
      </x:c>
      <x:c r="E33" s="2" t="str">
        <x:v>global_it_services</x:v>
      </x:c>
      <x:c r="F33" s="52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99" t="n">
        <x:v>45930</x:v>
      </x:c>
      <x:c r="D34" s="2" t="str">
        <x:v>deal_count_1m_to_10m_usd</x:v>
      </x:c>
      <x:c r="E34" s="2" t="str">
        <x:v>global_it_services</x:v>
      </x:c>
      <x:c r="F34" s="52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99" t="n">
        <x:v>45930</x:v>
      </x:c>
      <x:c r="D35" s="2" t="str">
        <x:v>deal_count_ge_10m_usd</x:v>
      </x:c>
      <x:c r="E35" s="2" t="str">
        <x:v>global_it_services</x:v>
      </x:c>
      <x:c r="F35" s="52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99" t="n">
        <x:v>45930</x:v>
      </x:c>
      <x:c r="D36" s="2" t="str">
        <x:v>revenue</x:v>
      </x:c>
      <x:c r="E36" s="2" t="str">
        <x:v>made_by_fpt</x:v>
      </x:c>
      <x:c r="F36" s="52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99" t="n">
        <x:v>45930</x:v>
      </x:c>
      <x:c r="D37" s="2" t="str">
        <x:v>revenue</x:v>
      </x:c>
      <x:c r="E37" s="2" t="str">
        <x:v>telecom_broadband</x:v>
      </x:c>
      <x:c r="F37" s="52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99" t="n">
        <x:v>45930</x:v>
      </x:c>
      <x:c r="D38" s="2" t="str">
        <x:v>revenue</x:v>
      </x:c>
      <x:c r="E38" s="2" t="str">
        <x:v>telecom_other</x:v>
      </x:c>
      <x:c r="F38" s="52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99" t="n">
        <x:v>45930</x:v>
      </x:c>
      <x:c r="D39" s="2" t="str">
        <x:v>revenue</x:v>
      </x:c>
      <x:c r="E39" s="2" t="str">
        <x:v>education</x:v>
      </x:c>
      <x:c r="F39" s="52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</x:row>
    <x:row r="44" ht="15" hidden="0" customHeight="1">
      <x:c r="C44" s="2"/>
      <x:c r="D44" s="2"/>
      <x:c r="E44" s="2"/>
      <x:c r="F44" s="2"/>
      <x:c r="G44" s="2"/>
      <x:c r="H44" s="2"/>
      <x:c r="I44" s="2"/>
      <x:c r="J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</x:row>
    <x:row r="46" ht="15" hidden="0" customHeight="1">
      <x:c r="C46" s="2"/>
      <x:c r="D46" s="2"/>
      <x:c r="E46" s="2"/>
      <x:c r="F46" s="2"/>
      <x:c r="G46" s="2"/>
      <x:c r="H46" s="2"/>
      <x:c r="I46" s="2"/>
      <x:c r="J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</x:row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The DCF uses current shares outstanding from the Q3 2025 balance sheet.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</x:v>
      </x:c>
      <x:c r="D5" s="22" t="str">
        <x:v>Filing year</x:v>
      </x:c>
      <x:c r="E5" s="22" t="str">
        <x:v>Observation year</x:v>
      </x:c>
      <x:c r="F5" s="22" t="str">
        <x:v>Basic EPS</x:v>
      </x:c>
      <x:c r="G5" s="22" t="str">
        <x:v>Diluted EPS</x:v>
      </x:c>
      <x:c r="H5" s="22" t="str">
        <x:v>Presentation</x:v>
      </x:c>
      <x:c r="I5" s="22" t="str">
        <x:v>Page</x:v>
      </x:c>
      <x:c r="J5" s="23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45" t="n">
        <x:v>3579</x:v>
      </x:c>
      <x:c r="G6" s="45" t="n">
        <x:v>3579</x:v>
      </x:c>
      <x:c r="H6" s="2" t="str">
        <x:v>comparative</x:v>
      </x:c>
      <x:c r="I6" s="2" t="n">
        <x:v>74</x:v>
      </x:c>
      <x:c r="J6" s="55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45" t="n">
        <x:v>4349</x:v>
      </x:c>
      <x:c r="G7" s="45" t="n">
        <x:v>4349</x:v>
      </x:c>
      <x:c r="H7" s="2" t="str">
        <x:v>current_year</x:v>
      </x:c>
      <x:c r="I7" s="2" t="n">
        <x:v>74</x:v>
      </x:c>
      <x:c r="J7" s="55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45" t="n">
        <x:v>3618</x:v>
      </x:c>
      <x:c r="G8" s="45" t="n">
        <x:v>3618</x:v>
      </x:c>
      <x:c r="H8" s="2" t="str">
        <x:v>comparative</x:v>
      </x:c>
      <x:c r="I8" s="2" t="n">
        <x:v>73</x:v>
      </x:c>
      <x:c r="J8" s="55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45" t="n">
        <x:v>4429</x:v>
      </x:c>
      <x:c r="G9" s="45" t="n">
        <x:v>4429</x:v>
      </x:c>
      <x:c r="H9" s="2" t="str">
        <x:v>current_year</x:v>
      </x:c>
      <x:c r="I9" s="2" t="n">
        <x:v>73</x:v>
      </x:c>
      <x:c r="J9" s="55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45" t="n">
        <x:v>3847</x:v>
      </x:c>
      <x:c r="G10" s="45" t="n">
        <x:v>3847</x:v>
      </x:c>
      <x:c r="H10" s="2" t="str">
        <x:v>comparative</x:v>
      </x:c>
      <x:c r="I10" s="2" t="n">
        <x:v>149</x:v>
      </x:c>
      <x:c r="J10" s="55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45" t="n">
        <x:v>4661</x:v>
      </x:c>
      <x:c r="G11" s="45" t="n">
        <x:v>4661</x:v>
      </x:c>
      <x:c r="H11" s="2" t="str">
        <x:v>current_year</x:v>
      </x:c>
      <x:c r="I11" s="2" t="n">
        <x:v>149</x:v>
      </x:c>
      <x:c r="J11" s="55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45" t="n">
        <x:v>4052</x:v>
      </x:c>
      <x:c r="G12" s="45" t="n">
        <x:v>4052</x:v>
      </x:c>
      <x:c r="H12" s="2" t="str">
        <x:v>comparative</x:v>
      </x:c>
      <x:c r="I12" s="2" t="n">
        <x:v>152</x:v>
      </x:c>
      <x:c r="J12" s="55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45" t="n">
        <x:v>4944</x:v>
      </x:c>
      <x:c r="G13" s="45" t="n">
        <x:v>4944</x:v>
      </x:c>
      <x:c r="H13" s="2" t="str">
        <x:v>current_year</x:v>
      </x:c>
      <x:c r="I13" s="2" t="n">
        <x:v>152</x:v>
      </x:c>
      <x:c r="J13" s="55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21" t="str">
        <x:v>Fiscal year</x:v>
      </x:c>
      <x:c r="D5" s="22" t="str">
        <x:v>Beginning shares</x:v>
      </x:c>
      <x:c r="E5" s="22" t="str">
        <x:v>Employee / other issuance</x:v>
      </x:c>
      <x:c r="F5" s="22" t="str">
        <x:v>Share dividend shares</x:v>
      </x:c>
      <x:c r="G5" s="22" t="str">
        <x:v>Ending shares</x:v>
      </x:c>
      <x:c r="H5" s="22" t="str">
        <x:v>Roll-forward check</x:v>
      </x:c>
      <x:c r="I5" s="22" t="str">
        <x:v>Latest weighted average</x:v>
      </x:c>
      <x:c r="J5" s="22" t="str">
        <x:v>Basis filing</x:v>
      </x:c>
      <x:c r="K5" s="22" t="str">
        <x:v>Source</x:v>
      </x:c>
      <x:c r="L5" s="22" t="str">
        <x:v>Report page</x:v>
      </x:c>
      <x:c r="M5" s="23" t="str">
        <x:v>Note</x:v>
      </x:c>
    </x:row>
    <x:row r="6" ht="32" hidden="0" customHeight="1">
      <x:c r="C6" s="2" t="n">
        <x:v>2020</x:v>
      </x:c>
      <x:c r="D6" s="45" t="n">
        <x:v>678276312</x:v>
      </x:c>
      <x:c r="E6" s="45" t="n">
        <x:v>3391790</x:v>
      </x:c>
      <x:c r="F6" s="45" t="n">
        <x:v>102237008</x:v>
      </x:c>
      <x:c r="G6" s="45" t="n">
        <x:v>783905110</x:v>
      </x:c>
      <x:c r="H6" s="100" t="n">
        <x:f>D6+E6+F6-G6</x:f>
        <x:v>0</x:v>
      </x:c>
      <x:c r="I6" s="45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5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45" t="n">
        <x:v>783905110</x:v>
      </x:c>
      <x:c r="E7" s="45" t="n">
        <x:v>5209768</x:v>
      </x:c>
      <x:c r="F7" s="45" t="n">
        <x:v>118354395</x:v>
      </x:c>
      <x:c r="G7" s="45" t="n">
        <x:v>907469273</x:v>
      </x:c>
      <x:c r="H7" s="100" t="n">
        <x:f>D7+E7+F7-G7</x:f>
        <x:v>0</x:v>
      </x:c>
      <x:c r="I7" s="45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5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45" t="n">
        <x:v>907469273</x:v>
      </x:c>
      <x:c r="E8" s="45" t="n">
        <x:v>6726641</x:v>
      </x:c>
      <x:c r="F8" s="45" t="n">
        <x:v>182830658</x:v>
      </x:c>
      <x:c r="G8" s="45" t="n">
        <x:v>1097026572</x:v>
      </x:c>
      <x:c r="H8" s="100" t="n">
        <x:f>D8+E8+F8-G8</x:f>
        <x:v>0</x:v>
      </x:c>
      <x:c r="I8" s="45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5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45" t="n">
        <x:v>1097026572</x:v>
      </x:c>
      <x:c r="E9" s="45" t="n">
        <x:v>7305050</x:v>
      </x:c>
      <x:c r="F9" s="45" t="n">
        <x:v>165637253</x:v>
      </x:c>
      <x:c r="G9" s="45" t="n">
        <x:v>1269968875</x:v>
      </x:c>
      <x:c r="H9" s="100" t="n">
        <x:f>D9+E9+F9-G9</x:f>
        <x:v>0</x:v>
      </x:c>
      <x:c r="I9" s="45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5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45" t="n">
        <x:v>1269968875</x:v>
      </x:c>
      <x:c r="E10" s="45" t="n">
        <x:v>10621117</x:v>
      </x:c>
      <x:c r="F10" s="45" t="n">
        <x:v>190479191</x:v>
      </x:c>
      <x:c r="G10" s="45" t="n">
        <x:v>1471069183</x:v>
      </x:c>
      <x:c r="H10" s="100" t="n">
        <x:f>D10+E10+F10-G10</x:f>
        <x:v>0</x:v>
      </x:c>
      <x:c r="I10" s="45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5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H6:H10">
    <x:cfRule type="expression" dxfId="2" priority="1">
      <x:formula>ABS(H6)&gt;0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24" hidden="0" customHeight="1">
      <x:c r="C5" s="21" t="str">
        <x:v>Check</x:v>
      </x:c>
      <x:c r="D5" s="22" t="str">
        <x:v>Tolerance</x:v>
      </x:c>
      <x:c r="E5" s="22" t="str">
        <x:v>2020</x:v>
      </x:c>
      <x:c r="F5" s="22" t="str">
        <x:v>2021</x:v>
      </x:c>
      <x:c r="G5" s="22" t="str">
        <x:v>2022</x:v>
      </x:c>
      <x:c r="H5" s="22" t="str">
        <x:v>2023</x:v>
      </x:c>
      <x:c r="I5" s="22" t="str">
        <x:v>2024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101" t="n">
        <x:f>'Annual Actuals'!E30</x:f>
        <x:v>0</x:v>
      </x:c>
      <x:c r="F6" s="101" t="n">
        <x:f>'Annual Actuals'!F30</x:f>
        <x:v>0</x:v>
      </x:c>
      <x:c r="G6" s="101" t="n">
        <x:f>'Annual Actuals'!G30</x:f>
        <x:v>0</x:v>
      </x:c>
      <x:c r="H6" s="101" t="n">
        <x:f>'Annual Actuals'!H30</x:f>
        <x:v>0</x:v>
      </x:c>
      <x:c r="I6" s="101" t="n">
        <x:f>'Annual Actuals'!I30</x:f>
        <x:v>0</x:v>
      </x:c>
      <x:c r="J6" s="101"/>
      <x:c r="K6" s="101"/>
      <x:c r="L6" s="101"/>
      <x:c r="M6" s="101"/>
      <x:c r="N6" s="101"/>
      <x:c r="O6" s="101"/>
    </x:row>
    <x:row r="7" ht="15" hidden="0" customHeight="1">
      <x:c r="C7" s="2" t="str">
        <x:v>PAT attribution difference</x:v>
      </x:c>
      <x:c r="D7" s="2" t="n">
        <x:v>0.01</x:v>
      </x:c>
      <x:c r="E7" s="101" t="n">
        <x:f>'Annual Actuals'!E31</x:f>
        <x:v>0</x:v>
      </x:c>
      <x:c r="F7" s="101" t="n">
        <x:f>'Annual Actuals'!F31</x:f>
        <x:v>0</x:v>
      </x:c>
      <x:c r="G7" s="101" t="n">
        <x:f>'Annual Actuals'!G31</x:f>
        <x:v>0</x:v>
      </x:c>
      <x:c r="H7" s="101" t="n">
        <x:f>'Annual Actuals'!H31</x:f>
        <x:v>0</x:v>
      </x:c>
      <x:c r="I7" s="101" t="n">
        <x:f>'Annual Actuals'!I31</x:f>
        <x:v>0</x:v>
      </x:c>
      <x:c r="J7" s="101"/>
      <x:c r="K7" s="101"/>
      <x:c r="L7" s="101"/>
      <x:c r="M7" s="101"/>
      <x:c r="N7" s="101"/>
      <x:c r="O7" s="101"/>
    </x:row>
    <x:row r="8" ht="15" hidden="0" customHeight="1">
      <x:c r="C8" s="2" t="str">
        <x:v>Segment revenue less consolidated revenue</x:v>
      </x:c>
      <x:c r="D8" s="2" t="n">
        <x:v>0.01</x:v>
      </x:c>
      <x:c r="E8" s="101" t="n">
        <x:f>ROUND('Segment Build'!E24-'Annual Actuals'!E6,2)</x:f>
        <x:v>0</x:v>
      </x:c>
      <x:c r="F8" s="101" t="n">
        <x:f>ROUND('Segment Build'!F24-'Annual Actuals'!F6,2)</x:f>
        <x:v>0</x:v>
      </x:c>
      <x:c r="G8" s="101" t="n">
        <x:f>ROUND('Segment Build'!G24-'Annual Actuals'!G6,2)</x:f>
        <x:v>0</x:v>
      </x:c>
      <x:c r="H8" s="101" t="n">
        <x:f>ROUND('Segment Build'!H24-'Annual Actuals'!H6,2)</x:f>
        <x:v>0</x:v>
      </x:c>
      <x:c r="I8" s="101" t="n">
        <x:f>ROUND('Segment Build'!I24-'Annual Actuals'!I6,2)</x:f>
        <x:v>0</x:v>
      </x:c>
      <x:c r="J8" s="101"/>
      <x:c r="K8" s="101"/>
      <x:c r="L8" s="101"/>
      <x:c r="M8" s="101"/>
      <x:c r="N8" s="101"/>
      <x:c r="O8" s="101"/>
    </x:row>
    <x:row r="9" ht="15" hidden="0" customHeight="1">
      <x:c r="C9" s="2" t="str">
        <x:v>Segment PBT less consolidated PBT</x:v>
      </x:c>
      <x:c r="D9" s="2" t="n">
        <x:v>0.01</x:v>
      </x:c>
      <x:c r="E9" s="101" t="n">
        <x:f>ROUND('Segment Build'!E27-'Annual Actuals'!E9,2)</x:f>
        <x:v>0</x:v>
      </x:c>
      <x:c r="F9" s="101" t="n">
        <x:f>ROUND('Segment Build'!F27-'Annual Actuals'!F9,2)</x:f>
        <x:v>0</x:v>
      </x:c>
      <x:c r="G9" s="101" t="n">
        <x:f>ROUND('Segment Build'!G27-'Annual Actuals'!G9,2)</x:f>
        <x:v>0</x:v>
      </x:c>
      <x:c r="H9" s="101" t="n">
        <x:f>ROUND('Segment Build'!H27-'Annual Actuals'!H9,2)</x:f>
        <x:v>0</x:v>
      </x:c>
      <x:c r="I9" s="101" t="n">
        <x:f>ROUND('Segment Build'!I27-'Annual Actuals'!I9,2)</x:f>
        <x:v>0</x:v>
      </x:c>
      <x:c r="J9" s="101"/>
      <x:c r="K9" s="101"/>
      <x:c r="L9" s="101"/>
      <x:c r="M9" s="101"/>
      <x:c r="N9" s="101"/>
      <x:c r="O9" s="101"/>
    </x:row>
    <x:row r="10" ht="15" hidden="0" customHeight="1">
      <x:c r="C10" s="2" t="str">
        <x:v>Share roll-forward difference</x:v>
      </x:c>
      <x:c r="D10" s="2" t="n">
        <x:v>0</x:v>
      </x:c>
      <x:c r="E10" s="101" t="n">
        <x:f>'Share Bridge'!H6</x:f>
        <x:v>0</x:v>
      </x:c>
      <x:c r="F10" s="101" t="n">
        <x:f>'Share Bridge'!H7</x:f>
        <x:v>0</x:v>
      </x:c>
      <x:c r="G10" s="101" t="n">
        <x:f>'Share Bridge'!H8</x:f>
        <x:v>0</x:v>
      </x:c>
      <x:c r="H10" s="101" t="n">
        <x:f>'Share Bridge'!H9</x:f>
        <x:v>0</x:v>
      </x:c>
      <x:c r="I10" s="101" t="n">
        <x:f>'Share Bridge'!H10</x:f>
        <x:v>0</x:v>
      </x:c>
      <x:c r="J10" s="101"/>
      <x:c r="K10" s="101"/>
      <x:c r="L10" s="101"/>
      <x:c r="M10" s="101"/>
      <x:c r="N10" s="101"/>
      <x:c r="O10" s="101"/>
    </x:row>
    <x:row r="11" ht="15" hidden="0" customHeight="1">
      <x:c r="C11" s="2" t="str">
        <x:v>Revenue build less FCFF build</x:v>
      </x:c>
      <x:c r="D11" s="2" t="n">
        <x:v>0.01</x:v>
      </x:c>
      <x:c r="E11" s="101" t="n">
        <x:f>ROUND('Segment Build'!E24-'FCFF Build'!E6,2)</x:f>
        <x:v>0</x:v>
      </x:c>
      <x:c r="F11" s="101" t="n">
        <x:f>ROUND('Segment Build'!F24-'FCFF Build'!F6,2)</x:f>
        <x:v>0</x:v>
      </x:c>
      <x:c r="G11" s="101" t="n">
        <x:f>ROUND('Segment Build'!G24-'FCFF Build'!G6,2)</x:f>
        <x:v>0</x:v>
      </x:c>
      <x:c r="H11" s="101" t="n">
        <x:f>ROUND('Segment Build'!H24-'FCFF Build'!H6,2)</x:f>
        <x:v>0</x:v>
      </x:c>
      <x:c r="I11" s="101" t="n">
        <x:f>ROUND('Segment Build'!I24-'FCFF Build'!I6,2)</x:f>
        <x:v>0</x:v>
      </x:c>
      <x:c r="J11" s="101" t="n">
        <x:f>ROUND('Segment Build'!J24-'FCFF Build'!J6,2)</x:f>
        <x:v>0</x:v>
      </x:c>
      <x:c r="K11" s="101" t="n">
        <x:f>ROUND('Segment Build'!K24-'FCFF Build'!K6,2)</x:f>
        <x:v>0</x:v>
      </x:c>
      <x:c r="L11" s="101" t="n">
        <x:f>ROUND('Segment Build'!L24-'FCFF Build'!L6,2)</x:f>
        <x:v>0</x:v>
      </x:c>
      <x:c r="M11" s="101" t="n">
        <x:f>ROUND('Segment Build'!M24-'FCFF Build'!M6,2)</x:f>
        <x:v>0</x:v>
      </x:c>
      <x:c r="N11" s="101" t="n">
        <x:f>ROUND('Segment Build'!N24-'FCFF Build'!N6,2)</x:f>
        <x:v>0</x:v>
      </x:c>
      <x:c r="O11" s="101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101" t="n">
        <x:f>ROUND('Summary'!D6-'FCFF Build'!E6,2)</x:f>
        <x:v>0</x:v>
      </x:c>
      <x:c r="F12" s="101" t="n">
        <x:f>ROUND('Summary'!E6-'FCFF Build'!F6,2)</x:f>
        <x:v>0</x:v>
      </x:c>
      <x:c r="G12" s="101" t="n">
        <x:f>ROUND('Summary'!F6-'FCFF Build'!G6,2)</x:f>
        <x:v>0</x:v>
      </x:c>
      <x:c r="H12" s="101" t="n">
        <x:f>ROUND('Summary'!G6-'FCFF Build'!H6,2)</x:f>
        <x:v>0</x:v>
      </x:c>
      <x:c r="I12" s="101" t="n">
        <x:f>ROUND('Summary'!H6-'FCFF Build'!I6,2)</x:f>
        <x:v>0</x:v>
      </x:c>
      <x:c r="J12" s="101" t="n">
        <x:f>ROUND('Summary'!I6-'FCFF Build'!J6,2)</x:f>
        <x:v>0</x:v>
      </x:c>
      <x:c r="K12" s="101" t="n">
        <x:f>ROUND('Summary'!J6-'FCFF Build'!K6,2)</x:f>
        <x:v>0</x:v>
      </x:c>
      <x:c r="L12" s="101" t="n">
        <x:f>ROUND('Summary'!K6-'FCFF Build'!L6,2)</x:f>
        <x:v>0</x:v>
      </x:c>
      <x:c r="M12" s="101" t="n">
        <x:f>ROUND('Summary'!L6-'FCFF Build'!M6,2)</x:f>
        <x:v>0</x:v>
      </x:c>
      <x:c r="N12" s="101" t="n">
        <x:f>ROUND('Summary'!M6-'FCFF Build'!N6,2)</x:f>
        <x:v>0</x:v>
      </x:c>
      <x:c r="O12" s="101" t="n">
        <x:f>ROUND('Summary'!N6-'FCFF Build'!O6,2)</x:f>
        <x:v>0</x:v>
      </x:c>
    </x:row>
    <x:row r="13" ht="15" hidden="0" customHeight="1">
      <x:c r="C13" s="2" t="str">
        <x:v>Q3 balance-sheet difference</x:v>
      </x:c>
      <x:c r="D13" s="2" t="n">
        <x:v>0.01</x:v>
      </x:c>
      <x:c r="E13" s="101" t="n">
        <x:f>'Q3 Balance'!E18</x:f>
        <x:v>0</x:v>
      </x:c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</x:row>
    <x:row r="14" ht="15" hidden="0" customHeight="1">
      <x:c r="C14" s="2" t="str">
        <x:v>WACC capital weights less 100%</x:v>
      </x:c>
      <x:c r="D14" s="2" t="n">
        <x:v>0.0001</x:v>
      </x:c>
      <x:c r="E14" s="101" t="n">
        <x:f>'Valuation'!E15+'Valuation'!E16-1</x:f>
        <x:v>0</x:v>
      </x:c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</x:row>
    <x:row r="15" ht="15" hidden="0" customHeight="1">
      <x:c r="C15" s="2" t="str">
        <x:v>DCF enterprise-to-equity bridge</x:v>
      </x:c>
      <x:c r="D15" s="2" t="n">
        <x:v>0.01</x:v>
      </x:c>
      <x:c r="E15" s="101" t="n">
        <x:f>'Valuation'!E44-SUM('Valuation'!E37:E43)</x:f>
        <x:v>0</x:v>
      </x:c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</x:row>
    <x:row r="16" ht="15" hidden="0" customHeight="1">
      <x:c r="C16" s="2" t="str">
        <x:v>Valuation-method weights less 100%</x:v>
      </x:c>
      <x:c r="D16" s="2" t="n">
        <x:v>0.0001</x:v>
      </x:c>
      <x:c r="E16" s="101" t="n">
        <x:f>'Assumptions'!E76+'Assumptions'!E77-1</x:f>
        <x:v>0</x:v>
      </x:c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</x:row>
    <x:row r="17" ht="15" hidden="0" customHeight="1">
      <x:c r="C17" s="2" t="str">
        <x:v>Comparable value formula difference</x:v>
      </x:c>
      <x:c r="D17" s="2" t="n">
        <x:v>0.01</x:v>
      </x:c>
      <x:c r="E17" s="101" t="n">
        <x:f>'Comparable Valuation'!E8-'Comparable Valuation'!E25*'Comparable Valuation'!E12</x:f>
        <x:v>0</x:v>
      </x:c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</x:row>
    <x:row r="18" ht="15" hidden="0" customHeight="1">
      <x:c r="C18" s="2" t="str">
        <x:v>Summary blended value difference</x:v>
      </x:c>
      <x:c r="D18" s="2" t="n">
        <x:v>0.01</x:v>
      </x:c>
      <x:c r="E18" s="101" t="n">
        <x:f>'Summary'!H24-'Comparable Valuation'!E9</x:f>
        <x:v>0</x:v>
      </x:c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6:O18">
    <x:cfRule type="expression" dxfId="3" priority="1">
      <x:formula>AND(ISNUMBER(E6),ABS(E6)&gt;$D6)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 filings, market inputs and broker research used within Clock A.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 ID</x:v>
      </x:c>
      <x:c r="D5" s="22" t="str">
        <x:v>Document</x:v>
      </x:c>
      <x:c r="E5" s="22" t="str">
        <x:v>Period end</x:v>
      </x:c>
      <x:c r="F5" s="22" t="str">
        <x:v>URL</x:v>
      </x:c>
      <x:c r="G5" s="22" t="str">
        <x:v>SHA-256</x:v>
      </x:c>
      <x:c r="H5" s="22" t="str">
        <x:v>Status</x:v>
      </x:c>
      <x:c r="I5" s="22" t="str">
        <x:v>Clock A</x:v>
      </x:c>
      <x:c r="J5" s="23" t="str">
        <x:v>Notes</x:v>
      </x:c>
    </x:row>
    <x:row r="6" ht="30" hidden="0" customHeight="1">
      <x:c r="C6" s="55" t="str">
        <x:v>fpt_ar_2020</x:v>
      </x:c>
      <x:c r="D6" s="55" t="str">
        <x:v>Annual Report 2020</x:v>
      </x:c>
      <x:c r="E6" s="55" t="str">
        <x:v>2020-12-31</x:v>
      </x:c>
      <x:c r="F6" s="103" t="str">
        <x:v>https://fpt.com/api/media/bctn_2020_3e29e2eb59.pdf</x:v>
      </x:c>
      <x:c r="G6" s="55" t="str">
        <x:v>8b0615e03ebb021a2e5bb17e140b1e7c04032184cd300f7f6459b4e42d0b1897</x:v>
      </x:c>
      <x:c r="H6" s="55" t="str">
        <x:v>text extracted</x:v>
      </x:c>
      <x:c r="I6" s="55" t="str">
        <x:v>yes</x:v>
      </x:c>
      <x:c r="J6" s="55" t="str">
        <x:v>Core FY2020 values use FY2021 reclassified comparative</x:v>
      </x:c>
    </x:row>
    <x:row r="7" ht="30" hidden="0" customHeight="1">
      <x:c r="C7" s="55" t="str">
        <x:v>fpt_ar_2021</x:v>
      </x:c>
      <x:c r="D7" s="55" t="str">
        <x:v>Annual Report 2021</x:v>
      </x:c>
      <x:c r="E7" s="55" t="str">
        <x:v>2021-12-31</x:v>
      </x:c>
      <x:c r="F7" s="103" t="str">
        <x:v>https://fpt.com/api/media/ar_fpt_2021_en_cbc563965a.pdf</x:v>
      </x:c>
      <x:c r="G7" s="55" t="str">
        <x:v>ad7c8afbfbf73e70623b9d1bada8dd69d7185cfd48d79b452ab58b7244963cc5</x:v>
      </x:c>
      <x:c r="H7" s="55" t="str">
        <x:v>core facts extracted</x:v>
      </x:c>
      <x:c r="I7" s="55" t="str">
        <x:v>yes</x:v>
      </x:c>
      <x:c r="J7" s="55" t="str"/>
    </x:row>
    <x:row r="8" ht="30" hidden="0" customHeight="1">
      <x:c r="C8" s="55" t="str">
        <x:v>fpt_ar_2022</x:v>
      </x:c>
      <x:c r="D8" s="55" t="str">
        <x:v>Annual Report 2022</x:v>
      </x:c>
      <x:c r="E8" s="55" t="str">
        <x:v>2022-12-31</x:v>
      </x:c>
      <x:c r="F8" s="103" t="str">
        <x:v>https://fpt.com/api/media/arfpt_2022_acf5112890.pdf</x:v>
      </x:c>
      <x:c r="G8" s="55" t="str">
        <x:v>3ba9c4f13d4a196c6c9751b307e810aa5648651a84215dfe96f48111ac6d65cd</x:v>
      </x:c>
      <x:c r="H8" s="55" t="str">
        <x:v>core facts extracted</x:v>
      </x:c>
      <x:c r="I8" s="55" t="str">
        <x:v>yes</x:v>
      </x:c>
      <x:c r="J8" s="55" t="str"/>
    </x:row>
    <x:row r="9" ht="30" hidden="0" customHeight="1">
      <x:c r="C9" s="55" t="str">
        <x:v>fpt_ar_2023</x:v>
      </x:c>
      <x:c r="D9" s="55" t="str">
        <x:v>Annual Report 2023</x:v>
      </x:c>
      <x:c r="E9" s="55" t="str">
        <x:v>2023-12-31</x:v>
      </x:c>
      <x:c r="F9" s="103" t="str">
        <x:v>https://fpt.com/api/media/annual_report_fpt_2023_en_4287f2041d.pdf</x:v>
      </x:c>
      <x:c r="G9" s="55" t="str">
        <x:v>ff9315e1da78ccd4cfca9b75cc12946c73a761e125bfa512aeedf6417fda796c</x:v>
      </x:c>
      <x:c r="H9" s="55" t="str">
        <x:v>core facts extracted</x:v>
      </x:c>
      <x:c r="I9" s="55" t="str">
        <x:v>yes</x:v>
      </x:c>
      <x:c r="J9" s="55" t="str"/>
    </x:row>
    <x:row r="10" ht="30" hidden="0" customHeight="1">
      <x:c r="C10" s="55" t="str">
        <x:v>fpt_ar_2024</x:v>
      </x:c>
      <x:c r="D10" s="55" t="str">
        <x:v>Annual Report 2024</x:v>
      </x:c>
      <x:c r="E10" s="55" t="str">
        <x:v>2024-12-31</x:v>
      </x:c>
      <x:c r="F10" s="103" t="str">
        <x:v>https://fpt.com/api/media/fpt_annual_report_2024_63d63bc4cd.pdf</x:v>
      </x:c>
      <x:c r="G10" s="55" t="str">
        <x:v>fa791cffcea5e14e287af9df36f4ac8b5dd8a21c4a13be46495b30a56e3ee1c4</x:v>
      </x:c>
      <x:c r="H10" s="55" t="str">
        <x:v>core facts + visual check</x:v>
      </x:c>
      <x:c r="I10" s="55" t="str">
        <x:v>yes</x:v>
      </x:c>
      <x:c r="J10" s="55" t="str"/>
    </x:row>
    <x:row r="11" ht="30" hidden="0" customHeight="1">
      <x:c r="C11" s="55" t="str">
        <x:v>fpt_earnings_9m2025</x:v>
      </x:c>
      <x:c r="D11" s="55" t="str">
        <x:v>Earnings Report 9M2025</x:v>
      </x:c>
      <x:c r="E11" s="55" t="str">
        <x:v>2025-09-30</x:v>
      </x:c>
      <x:c r="F11" s="103" t="str">
        <x:v>https://fpt.com/api/media/FPT_Earnings_Report_9_M2025_7a1a6aa5d1.pdf</x:v>
      </x:c>
      <x:c r="G11" s="55" t="str">
        <x:v>27802e9d82e0f4d7f396693d5b26087a2847bcd3e2e82beef0f27a35f6b983f1</x:v>
      </x:c>
      <x:c r="H11" s="55" t="str">
        <x:v>operating facts + visual check</x:v>
      </x:c>
      <x:c r="I11" s="55" t="str">
        <x:v>yes</x:v>
      </x:c>
      <x:c r="J11" s="55" t="str">
        <x:v>Published before Clock A cutoff</x:v>
      </x:c>
    </x:row>
    <x:row r="12" ht="30" hidden="0" customHeight="1">
      <x:c r="C12" s="55" t="str">
        <x:v>fpt_q3_2025_fs</x:v>
      </x:c>
      <x:c r="D12" s="55" t="str">
        <x:v>Consolidated Financial Statements Q3 2025</x:v>
      </x:c>
      <x:c r="E12" s="55" t="str">
        <x:v>2025-09-30</x:v>
      </x:c>
      <x:c r="F12" s="103" t="str">
        <x:v>https://file.fpts.com.vn/FileStore2/File/2025/10/24/20251023_-_FPT_-_BCTC_hop_nhat_Quy_3_2025.pdf</x:v>
      </x:c>
      <x:c r="G12" s="55" t="str">
        <x:v>fe01af2c48c75482f1e3af43cc6294fa8b44ff2f0b113798285b30c03616d162</x:v>
      </x:c>
      <x:c r="H12" s="55" t="str">
        <x:v>balance-sheet pages visually checked</x:v>
      </x:c>
      <x:c r="I12" s="55" t="str">
        <x:v>yes</x:v>
      </x:c>
      <x:c r="J12" s="55" t="str">
        <x:v>FPT disclosure dated 23-Oct-2025</x:v>
      </x:c>
    </x:row>
    <x:row r="13" ht="30" hidden="0" customHeight="1">
      <x:c r="C13" s="55" t="str">
        <x:v>ssc_gov_bond_oct2025</x:v>
      </x:c>
      <x:c r="D13" s="55" t="str">
        <x:v>Vietnam government bond market in October 2025</x:v>
      </x:c>
      <x:c r="E13" s="55" t="str">
        <x:v>2025-10-31</x:v>
      </x:c>
      <x:c r="F13" s="103" t="str">
        <x:v>https://ssc.gov.vn/webcenter/portal/ssc/pages_r/l/chitit?dDocName=APPSSCGOVVN1620160814</x:v>
      </x:c>
      <x:c r="G13" s="55" t="str"/>
      <x:c r="H13" s="55" t="str">
        <x:v>10-year yield extracted</x:v>
      </x:c>
      <x:c r="I13" s="55" t="str">
        <x:v>yes</x:v>
      </x:c>
      <x:c r="J13" s="55" t="str">
        <x:v>10-year secondary-market yield 3.4140%</x:v>
      </x:c>
    </x:row>
    <x:row r="14" ht="30" hidden="0" customHeight="1">
      <x:c r="C14" s="55" t="str">
        <x:v>damodaran_erp_2025</x:v>
      </x:c>
      <x:c r="D14" s="55" t="str">
        <x:v>Country risk premiums - January 2025</x:v>
      </x:c>
      <x:c r="E14" s="55" t="str">
        <x:v>2025-01-09</x:v>
      </x:c>
      <x:c r="F14" s="103" t="str">
        <x:v>https://pages.stern.nyu.edu/~adamodar/New_Home_Page/dataarchived.html</x:v>
      </x:c>
      <x:c r="G14" s="55" t="str"/>
      <x:c r="H14" s="55" t="str">
        <x:v>methodology reviewed</x:v>
      </x:c>
      <x:c r="I14" s="55" t="str">
        <x:v>yes</x:v>
      </x:c>
      <x:c r="J14" s="55" t="str">
        <x:v>Vietnam ERP cross-checked to 8.35% used in 2025 Vietnam broker research</x:v>
      </x:c>
    </x:row>
    <x:row r="15" ht="30" hidden="0" customHeight="1">
      <x:c r="C15" s="55" t="str">
        <x:v>yuanta_fpt_20250903</x:v>
      </x:c>
      <x:c r="D15" s="55" t="str">
        <x:v>FPT update report</x:v>
      </x:c>
      <x:c r="E15" s="55" t="str">
        <x:v>2025-09-03</x:v>
      </x:c>
      <x:c r="F15" s="103" t="str">
        <x:v>https://yuanta.com.vn/wp-content/uploads/2025/09/20250903-FPT-update-VN.pdf</x:v>
      </x:c>
      <x:c r="G15" s="55" t="str"/>
      <x:c r="H15" s="55" t="str">
        <x:v>valuation assumptions reviewed</x:v>
      </x:c>
      <x:c r="I15" s="55" t="str">
        <x:v>yes</x:v>
      </x:c>
      <x:c r="J15" s="55" t="str">
        <x:v>FPT beta 0.9</x:v>
      </x:c>
    </x:row>
    <x:row r="16" ht="30" hidden="0" customHeight="1">
      <x:c r="C16" s="55" t="str">
        <x:v>vietcap_fpt_20251022</x:v>
      </x:c>
      <x:c r="D16" s="55" t="str">
        <x:v>FPT update report</x:v>
      </x:c>
      <x:c r="E16" s="55" t="str">
        <x:v>2025-10-22</x:v>
      </x:c>
      <x:c r="F16" s="103" t="str">
        <x:v>https://www.vietcap.com.vn/api/cms-api/uploads/file/202510/FPT-20251022-BUY.pdf</x:v>
      </x:c>
      <x:c r="G16" s="55" t="str"/>
      <x:c r="H16" s="55" t="str">
        <x:v>peer table extracted</x:v>
      </x:c>
      <x:c r="I16" s="55" t="str">
        <x:v>yes</x:v>
      </x:c>
      <x:c r="J16" s="55" t="str">
        <x:v>Peer data at 21-Oct-2025; global IT and telecom medians; FPT 2026F P/E 17.0x</x:v>
      </x:c>
    </x:row>
    <x:row r="17" ht="30" hidden="0" customHeight="1">
      <x:c r="C17" s="55" t="str">
        <x:v>vietcap_fpt_20250814</x:v>
      </x:c>
      <x:c r="D17" s="55" t="str">
        <x:v>FPT update report</x:v>
      </x:c>
      <x:c r="E17" s="55" t="str">
        <x:v>2025-08-14</x:v>
      </x:c>
      <x:c r="F17" s="103" t="str">
        <x:v>https://www.vietcap.com.vn/api/cms-api/uploads/file/202508/FPT-20250814-OP.pdf</x:v>
      </x:c>
      <x:c r="G17" s="55" t="str"/>
      <x:c r="H17" s="55" t="str">
        <x:v>peer table extracted</x:v>
      </x:c>
      <x:c r="I17" s="55" t="str">
        <x:v>yes</x:v>
      </x:c>
      <x:c r="J17" s="55" t="str">
        <x:v>Education peer set at 12-Aug-2025</x:v>
      </x:c>
    </x:row>
    <x:row r="18" ht="30" hidden="0" customHeight="1">
      <x:c r="C18" s="55" t="str">
        <x:v>kbsv_fpt_20250911</x:v>
      </x:c>
      <x:c r="D18" s="55" t="str">
        <x:v>FPT 2Q2025 update</x:v>
      </x:c>
      <x:c r="E18" s="55" t="str">
        <x:v>2025-09-11</x:v>
      </x:c>
      <x:c r="F18" s="103" t="str">
        <x:v>https://www.kbsec.com.vn/pic/Service/KBSV_FPT_2Q25Update_Eng.pdf</x:v>
      </x:c>
      <x:c r="G18" s="55" t="str"/>
      <x:c r="H18" s="55" t="str">
        <x:v>valuation method reviewed</x:v>
      </x:c>
      <x:c r="I18" s="55" t="str">
        <x:v>yes</x:v>
      </x:c>
      <x:c r="J18" s="55" t="str">
        <x:v>50% DCF / 50% P/E; applied 21.0x 2026F P/E; target VND123,100</x:v>
      </x:c>
    </x:row>
    <x:row r="19" ht="30" hidden="0" customHeight="1">
      <x:c r="C19" s="55" t="str">
        <x:v>acbs_fpt_20251028</x:v>
      </x:c>
      <x:c r="D19" s="55" t="str">
        <x:v>FPT update report</x:v>
      </x:c>
      <x:c r="E19" s="55" t="str">
        <x:v>2025-10-28</x:v>
      </x:c>
      <x:c r="F19" s="103" t="str">
        <x:v>https://acbs.com.vn/acbsmedia/2025/10/FPT-by-ACBS_Update_Oct-28th-2025.pdf</x:v>
      </x:c>
      <x:c r="G19" s="55" t="str"/>
      <x:c r="H19" s="55" t="str">
        <x:v>forecast and target reviewed</x:v>
      </x:c>
      <x:c r="I19" s="55" t="str">
        <x:v>yes</x:v>
      </x:c>
      <x:c r="J19" s="55" t="str">
        <x:v>Target VND122,400; forecast table used as an external cross-check only</x:v>
      </x:c>
    </x:row>
    <x:row r="20" ht="30" hidden="0" customHeight="1">
      <x:c r="C20" s="55" t="str">
        <x:v>ssi_hsx_price_history</x:v>
      </x:c>
      <x:c r="D20" s="55" t="str">
        <x:v>SSI covered-warrant prospectus using HOSE price history</x:v>
      </x:c>
      <x:c r="E20" s="55" t="str">
        <x:v>2025-10-31</x:v>
      </x:c>
      <x:c r="F20" s="103" t="str">
        <x:v>https://www.ssi.com.vn/upload/files/KHCN/Phat-trien-san-pham/Covered%20Warrant/2026/03.06.2026/FPT3M-1/FPT%203M-1%20ENG.pdf</x:v>
      </x:c>
      <x:c r="G20" s="55" t="str"/>
      <x:c r="H20" s="55" t="str">
        <x:v>historical price extracted</x:v>
      </x:c>
      <x:c r="I20" s="55" t="str">
        <x:v>price only</x:v>
      </x:c>
      <x:c r="J20" s="55" t="str">
        <x:v>31-Oct-2025 FPT close VND102,830; later publication used only for historical market-price verification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