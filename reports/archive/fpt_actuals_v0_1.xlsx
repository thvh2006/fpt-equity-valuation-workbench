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c019fd7be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10bcf4dada40e8"/>
    <x:sheet xmlns:r="http://schemas.openxmlformats.org/officeDocument/2006/relationships" name="Annual Actuals" sheetId="2" r:id="R92ffbf49c7364af6"/>
    <x:sheet xmlns:r="http://schemas.openxmlformats.org/officeDocument/2006/relationships" name="9M25 Operating" sheetId="3" r:id="Re4c36d5b919f4971"/>
    <x:sheet xmlns:r="http://schemas.openxmlformats.org/officeDocument/2006/relationships" name="EPS Versions" sheetId="4" r:id="Rb209f6bb3b324d75"/>
    <x:sheet xmlns:r="http://schemas.openxmlformats.org/officeDocument/2006/relationships" name="Share Bridge" sheetId="5" r:id="R93956f94d45b401c"/>
    <x:sheet xmlns:r="http://schemas.openxmlformats.org/officeDocument/2006/relationships" name="Sources" sheetId="6" r:id="Rb95311ed1b00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-"/>
    <x:numFmt numFmtId="201" formatCode="0.00;[Red](0.00);0.00"/>
    <x:numFmt numFmtId="202" formatCode="0.0%"/>
    <x:numFmt numFmtId="203" formatCode="yyyy-mm-dd"/>
    <x:numFmt numFmtId="204" formatCode="#,##0"/>
    <x:numFmt numFmtId="205" formatCode="0;[Red](0);-"/>
  </x:numFmts>
  <x:fonts count="10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i/>
      <x:sz val="9"/>
      <x:color rgb="FF666666"/>
      <x:name val="Arial"/>
    </x:font>
    <x:font>
      <x:b/>
      <x:sz val="10"/>
      <x:color rgb="FF17365D"/>
      <x:name val="Arial"/>
    </x:font>
    <x:font>
      <x:i/>
      <x:sz val="10"/>
      <x:color rgb="FF1F2937"/>
      <x:name val="Arial"/>
    </x:font>
    <x:font>
      <x:sz val="9"/>
      <x:color rgb="FFC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bottom style="thin">
        <x:color rgb="FF9EADBA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top style="thin">
        <x:color rgb="FF9EADBA"/>
      </x:top>
    </x:border>
    <x:border>
      <x:bottom style="double">
        <x:color rgb="FF17365D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57095c3ea4ce0" /><Relationship Type="http://schemas.openxmlformats.org/officeDocument/2006/relationships/theme" Target="/xl/theme/theme1.xml" Id="R1ecbf72bbf5b4d34" /><Relationship Type="http://schemas.openxmlformats.org/officeDocument/2006/relationships/sharedStrings" Target="/xl/sharedStrings.xml" Id="Red42e5f81239474d" /><Relationship Type="http://schemas.openxmlformats.org/officeDocument/2006/relationships/worksheet" Target="/xl/worksheets/sheet1.xml" Id="Rea10bcf4dada40e8" /><Relationship Type="http://schemas.openxmlformats.org/officeDocument/2006/relationships/worksheet" Target="/xl/worksheets/sheet2.xml" Id="R92ffbf49c7364af6" /><Relationship Type="http://schemas.openxmlformats.org/officeDocument/2006/relationships/worksheet" Target="/xl/worksheets/sheet3.xml" Id="Re4c36d5b919f4971" /><Relationship Type="http://schemas.openxmlformats.org/officeDocument/2006/relationships/worksheet" Target="/xl/worksheets/sheet4.xml" Id="Rb209f6bb3b324d75" /><Relationship Type="http://schemas.openxmlformats.org/officeDocument/2006/relationships/worksheet" Target="/xl/worksheets/sheet5.xml" Id="R93956f94d45b401c" /><Relationship Type="http://schemas.openxmlformats.org/officeDocument/2006/relationships/worksheet" Target="/xl/worksheets/sheet6.xml" Id="Rb95311ed1b0049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815386d8294e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profit before tax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'Summary'!$J$22:$J$26</c:f>
              <c:strCache>
                <c:ptCount val="0"/>
              </c:strCache>
            </c:strRef>
          </c:cat>
          <c:val>
            <c:numRef>
              <c:f>'Summary'!$K$22:$K$26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PBT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'Summary'!$J$22:$J$26</c:f>
              <c:strCache>
                <c:ptCount val="0"/>
              </c:strCache>
            </c:strRef>
          </c:cat>
          <c:val>
            <c:numRef>
              <c:f>'Summary'!$L$22:$L$26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815386d8294e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521b72043c44c0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 ht="18" hidden="0" customHeight="1">
      <x:c r="C2" s="3" t="str">
        <x:v>FPT historical review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Audited actuals through 2024 plus a separate 9M2025 operating snapshot. No valuation conclusion yet.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15" t="str">
        <x:v>Metric</x:v>
      </x:c>
      <x:c r="D5" s="16" t="n">
        <x:v>2020</x:v>
      </x:c>
      <x:c r="E5" s="16" t="n">
        <x:v>2021</x:v>
      </x:c>
      <x:c r="F5" s="16" t="n">
        <x:v>2022</x:v>
      </x:c>
      <x:c r="G5" s="16" t="n">
        <x:v>2023</x:v>
      </x:c>
      <x:c r="H5" s="17" t="n">
        <x:v>2024</x:v>
      </x:c>
      <x:c r="I5" s="2"/>
      <x:c r="J5" s="2"/>
      <x:c r="K5" s="2"/>
      <x:c r="L5" s="2"/>
      <x:c r="M5" s="2"/>
      <x:c r="N5" s="2"/>
      <x:c r="O5" s="2"/>
      <x:c r="P5" s="2"/>
      <x:c r="Q5" s="2"/>
    </x:row>
    <x:row r="6" ht="15" hidden="0" customHeight="1">
      <x:c r="C6" s="32" t="str">
        <x:v>Net revenue</x:v>
      </x:c>
      <x:c r="D6" s="33" t="n">
        <x:f>'Annual Actuals'!E6</x:f>
        <x:v>29830.400526824</x:v>
      </x:c>
      <x:c r="E6" s="33" t="n">
        <x:f>'Annual Actuals'!F6</x:f>
        <x:v>35657.262545027</x:v>
      </x:c>
      <x:c r="F6" s="33" t="n">
        <x:f>'Annual Actuals'!G6</x:f>
        <x:v>44009.527680911</x:v>
      </x:c>
      <x:c r="G6" s="33" t="n">
        <x:f>'Annual Actuals'!H6</x:f>
        <x:v>52617.900827385</x:v>
      </x:c>
      <x:c r="H6" s="33" t="n">
        <x:f>'Annual Actuals'!I6</x:f>
        <x:v>62848.794351367</x:v>
      </x:c>
      <x:c r="I6" s="2"/>
      <x:c r="J6" s="2"/>
      <x:c r="K6" s="2"/>
      <x:c r="L6" s="2"/>
      <x:c r="M6" s="2"/>
      <x:c r="N6" s="2"/>
      <x:c r="O6" s="2"/>
      <x:c r="P6" s="2"/>
      <x:c r="Q6" s="2"/>
    </x:row>
    <x:row r="7" ht="15" hidden="0" customHeight="1">
      <x:c r="C7" s="30" t="str">
        <x:v>Revenue growth</x:v>
      </x:c>
      <x:c r="D7" s="31"/>
      <x:c r="E7" s="31" t="n">
        <x:f>E6/D6-1</x:f>
        <x:v>0.1953330131442046</x:v>
      </x:c>
      <x:c r="F7" s="31" t="n">
        <x:f>F6/E6-1</x:f>
        <x:v>0.23423741868397752</x:v>
      </x:c>
      <x:c r="G7" s="31" t="n">
        <x:f>G6/F6-1</x:f>
        <x:v>0.19560248882670583</x:v>
      </x:c>
      <x:c r="H7" s="31" t="n">
        <x:f>H6/G6-1</x:f>
        <x:v>0.19443750820742234</x:v>
      </x:c>
      <x:c r="I7" s="2"/>
      <x:c r="J7" s="2"/>
      <x:c r="K7" s="2"/>
      <x:c r="L7" s="2"/>
      <x:c r="M7" s="2"/>
      <x:c r="N7" s="2"/>
      <x:c r="O7" s="2"/>
      <x:c r="P7" s="2"/>
      <x:c r="Q7" s="2"/>
    </x:row>
    <x:row r="8" ht="15" hidden="0" customHeight="1">
      <x:c r="C8" s="2" t="str">
        <x:v>Profit before tax</x:v>
      </x:c>
      <x:c r="D8" s="28" t="n">
        <x:f>'Annual Actuals'!E9</x:f>
        <x:v>5263.456629967</x:v>
      </x:c>
      <x:c r="E8" s="28" t="n">
        <x:f>'Annual Actuals'!F9</x:f>
        <x:v>6337.206440958</x:v>
      </x:c>
      <x:c r="F8" s="28" t="n">
        <x:f>'Annual Actuals'!G9</x:f>
        <x:v>7662.28295988</x:v>
      </x:c>
      <x:c r="G8" s="28" t="n">
        <x:f>'Annual Actuals'!H9</x:f>
        <x:v>9203.00609857</x:v>
      </x:c>
      <x:c r="H8" s="28" t="n">
        <x:f>'Annual Actuals'!I9</x:f>
        <x:v>11069.666417819</x:v>
      </x:c>
      <x:c r="I8" s="2"/>
      <x:c r="J8" s="2"/>
      <x:c r="K8" s="2"/>
      <x:c r="L8" s="2"/>
      <x:c r="M8" s="2"/>
      <x:c r="N8" s="2"/>
      <x:c r="O8" s="2"/>
      <x:c r="P8" s="2"/>
      <x:c r="Q8" s="2"/>
    </x:row>
    <x:row r="9" ht="15" hidden="0" customHeight="1">
      <x:c r="C9" s="30" t="str">
        <x:v>PBT margin</x:v>
      </x:c>
      <x:c r="D9" s="31" t="n">
        <x:f>D8/D6</x:f>
        <x:v>0.17644605962410764</x:v>
      </x:c>
      <x:c r="E9" s="31" t="n">
        <x:f>E8/E6</x:f>
        <x:v>0.1777255456151619</x:v>
      </x:c>
      <x:c r="F9" s="31" t="n">
        <x:f>F8/F6</x:f>
        <x:v>0.17410509413859246</x:v>
      </x:c>
      <x:c r="G9" s="31" t="n">
        <x:f>G8/G6</x:f>
        <x:v>0.17490257030132783</x:v>
      </x:c>
      <x:c r="H9" s="31" t="n">
        <x:f>H8/H6</x:f>
        <x:v>0.1761317226855956</x:v>
      </x:c>
      <x:c r="I9" s="2"/>
      <x:c r="J9" s="2"/>
      <x:c r="K9" s="2"/>
      <x:c r="L9" s="2"/>
      <x:c r="M9" s="2"/>
      <x:c r="N9" s="2"/>
      <x:c r="O9" s="2"/>
      <x:c r="P9" s="2"/>
      <x:c r="Q9" s="2"/>
    </x:row>
    <x:row r="10" ht="15" hidden="0" customHeight="1">
      <x:c r="C10" s="2" t="str">
        <x:v>Parent profit after tax</x:v>
      </x:c>
      <x:c r="D10" s="28" t="n">
        <x:f>'Annual Actuals'!E11</x:f>
        <x:v>3538.007738822</x:v>
      </x:c>
      <x:c r="E10" s="28" t="n">
        <x:f>'Annual Actuals'!F11</x:f>
        <x:v>4337.411879802</x:v>
      </x:c>
      <x:c r="F10" s="28" t="n">
        <x:f>'Annual Actuals'!G11</x:f>
        <x:v>5310.108591408</x:v>
      </x:c>
      <x:c r="G10" s="28" t="n">
        <x:f>'Annual Actuals'!H11</x:f>
        <x:v>6465.190432622</x:v>
      </x:c>
      <x:c r="H10" s="28" t="n">
        <x:f>'Annual Actuals'!I11</x:f>
        <x:v>7856.767812178</x:v>
      </x:c>
      <x:c r="I10" s="2"/>
      <x:c r="J10" s="2"/>
      <x:c r="K10" s="2"/>
      <x:c r="L10" s="2"/>
      <x:c r="M10" s="2"/>
      <x:c r="N10" s="2"/>
      <x:c r="O10" s="2"/>
      <x:c r="P10" s="2"/>
      <x:c r="Q10" s="2"/>
    </x:row>
    <x:row r="11" ht="15" hidden="0" customHeight="1">
      <x:c r="C11" s="2" t="str">
        <x:v>Operating cash flow</x:v>
      </x:c>
      <x:c r="D11" s="28" t="n">
        <x:f>'Annual Actuals'!E13</x:f>
        <x:v>6339.679033336</x:v>
      </x:c>
      <x:c r="E11" s="28" t="n">
        <x:f>'Annual Actuals'!F13</x:f>
        <x:v>5839.693554727</x:v>
      </x:c>
      <x:c r="F11" s="28" t="n">
        <x:f>'Annual Actuals'!G13</x:f>
        <x:v>5053.8317567</x:v>
      </x:c>
      <x:c r="G11" s="28" t="n">
        <x:f>'Annual Actuals'!H13</x:f>
        <x:v>9517.095698405</x:v>
      </x:c>
      <x:c r="H11" s="28" t="n">
        <x:f>'Annual Actuals'!I13</x:f>
        <x:v>11703.777188868</x:v>
      </x:c>
      <x:c r="I11" s="2"/>
      <x:c r="J11" s="2"/>
      <x:c r="K11" s="2"/>
      <x:c r="L11" s="2"/>
      <x:c r="M11" s="2"/>
      <x:c r="N11" s="2"/>
      <x:c r="O11" s="2"/>
      <x:c r="P11" s="2"/>
      <x:c r="Q11" s="2"/>
    </x:row>
    <x:row r="12" ht="15" hidden="0" customHeight="1">
      <x:c r="C12" s="2" t="str">
        <x:v>Capital expenditure purchases</x:v>
      </x:c>
      <x:c r="D12" s="28" t="n">
        <x:f>'Annual Actuals'!E14</x:f>
        <x:v>3017.645357713</x:v>
      </x:c>
      <x:c r="E12" s="28" t="n">
        <x:f>'Annual Actuals'!F14</x:f>
        <x:v>2911.001172725</x:v>
      </x:c>
      <x:c r="F12" s="28" t="n">
        <x:f>'Annual Actuals'!G14</x:f>
        <x:v>3215.243200871</x:v>
      </x:c>
      <x:c r="G12" s="28" t="n">
        <x:f>'Annual Actuals'!H14</x:f>
        <x:v>3978.252082224</x:v>
      </x:c>
      <x:c r="H12" s="28" t="n">
        <x:f>'Annual Actuals'!I14</x:f>
        <x:v>3275.312325702</x:v>
      </x:c>
      <x:c r="I12" s="2"/>
      <x:c r="J12" s="2"/>
      <x:c r="K12" s="2"/>
      <x:c r="L12" s="2"/>
      <x:c r="M12" s="2"/>
      <x:c r="N12" s="2"/>
      <x:c r="O12" s="2"/>
      <x:c r="P12" s="2"/>
      <x:c r="Q12" s="2"/>
    </x:row>
    <x:row r="13" ht="15" hidden="0" customHeight="1">
      <x:c r="C13" s="2" t="str">
        <x:v>Operating cash flow less capex</x:v>
      </x:c>
      <x:c r="D13" s="28" t="n">
        <x:f>D11-D12</x:f>
        <x:v>3322.0336756230004</x:v>
      </x:c>
      <x:c r="E13" s="28" t="n">
        <x:f>E11-E12</x:f>
        <x:v>2928.6923820020006</x:v>
      </x:c>
      <x:c r="F13" s="28" t="n">
        <x:f>F11-F12</x:f>
        <x:v>1838.5885558290001</x:v>
      </x:c>
      <x:c r="G13" s="28" t="n">
        <x:f>G11-G12</x:f>
        <x:v>5538.8436161810005</x:v>
      </x:c>
      <x:c r="H13" s="28" t="n">
        <x:f>H11-H12</x:f>
        <x:v>8428.464863166</x:v>
      </x:c>
      <x:c r="I13" s="2"/>
      <x:c r="J13" s="2"/>
      <x:c r="K13" s="2"/>
      <x:c r="L13" s="2"/>
      <x:c r="M13" s="2"/>
      <x:c r="N13" s="2"/>
      <x:c r="O13" s="2"/>
      <x:c r="P13" s="2"/>
      <x:c r="Q13" s="2"/>
    </x:row>
    <x:row r="14" ht="15" hidden="0" customHeight="1">
      <x:c r="C14" s="2" t="str">
        <x:v>Total assets</x:v>
      </x:c>
      <x:c r="D14" s="28" t="n">
        <x:f>'Annual Actuals'!E20</x:f>
        <x:v>41734.323235194</x:v>
      </x:c>
      <x:c r="E14" s="28" t="n">
        <x:f>'Annual Actuals'!F20</x:f>
        <x:v>53697.940895875</x:v>
      </x:c>
      <x:c r="F14" s="28" t="n">
        <x:f>'Annual Actuals'!G20</x:f>
        <x:v>51650.40373513</x:v>
      </x:c>
      <x:c r="G14" s="28" t="n">
        <x:f>'Annual Actuals'!H20</x:f>
        <x:v>60282.827532899</x:v>
      </x:c>
      <x:c r="H14" s="28" t="n">
        <x:f>'Annual Actuals'!I20</x:f>
        <x:v>71999.99567862</x:v>
      </x:c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34" t="str">
        <x:v>Cash and short-term investments less borrowings</x:v>
      </x:c>
      <x:c r="D15" s="35" t="n">
        <x:f>'Annual Actuals'!E16+'Annual Actuals'!E17-'Annual Actuals'!E22-'Annual Actuals'!E23</x:f>
        <x:v>4381.902392153999</x:v>
      </x:c>
      <x:c r="E15" s="35" t="n">
        <x:f>'Annual Actuals'!F16+'Annual Actuals'!F17-'Annual Actuals'!F22-'Annual Actuals'!F23</x:f>
        <x:v>6052.816347875002</x:v>
      </x:c>
      <x:c r="F15" s="35" t="n">
        <x:f>'Annual Actuals'!G16+'Annual Actuals'!G17-'Annual Actuals'!G22-'Annual Actuals'!G23</x:f>
        <x:v>7105.236127267998</x:v>
      </x:c>
      <x:c r="G15" s="35" t="n">
        <x:f>'Annual Actuals'!H16+'Annual Actuals'!H17-'Annual Actuals'!H22-'Annual Actuals'!H23</x:f>
        <x:v>10337.392570161997</x:v>
      </x:c>
      <x:c r="H15" s="35" t="n">
        <x:f>'Annual Actuals'!I16+'Annual Actuals'!I17-'Annual Actuals'!I22-'Annual Actuals'!I23</x:f>
        <x:v>16153.300137294003</x:v>
      </x:c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</x:row>
    <x:row r="18" ht="15" hidden="0" customHeight="1">
      <x:c r="C18" s="23" t="str">
        <x:v>Current research status</x:v>
      </x:c>
      <x:c r="D18" s="24" t="str">
        <x:v>Current research status</x:v>
      </x:c>
      <x:c r="E18" s="24" t="str">
        <x:v>Current research status</x:v>
      </x:c>
      <x:c r="F18" s="24" t="str">
        <x:v>Current research status</x:v>
      </x:c>
      <x:c r="G18" s="24" t="str">
        <x:v>Current research status</x:v>
      </x:c>
      <x:c r="H18" s="25" t="str">
        <x:v>Current research status</x:v>
      </x:c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15" hidden="0" customHeight="1">
      <x:c r="C19" s="2" t="str">
        <x:v>Company</x:v>
      </x:c>
      <x:c r="D19" s="36" t="str">
        <x:v>FPT Corporation (HOSE: FPT)</x:v>
      </x:c>
      <x:c r="E19" s="36"/>
      <x:c r="F19" s="36"/>
      <x:c r="G19" s="36"/>
      <x:c r="H19" s="36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15" hidden="0" customHeight="1">
      <x:c r="C20" s="2" t="str">
        <x:v>Clock A cutoff</x:v>
      </x:c>
      <x:c r="D20" s="36" t="str">
        <x:v>31-Oct-2025</x:v>
      </x:c>
      <x:c r="E20" s="36"/>
      <x:c r="F20" s="36"/>
      <x:c r="G20" s="36"/>
      <x:c r="H20" s="36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15" hidden="0" customHeight="1">
      <x:c r="C21" s="2" t="str">
        <x:v>Completed</x:v>
      </x:c>
      <x:c r="D21" s="36" t="str">
        <x:v>Audited core facts, EPS version history and 9M2025 operating facts</x:v>
      </x:c>
      <x:c r="E21" s="36"/>
      <x:c r="F21" s="36"/>
      <x:c r="G21" s="36"/>
      <x:c r="H21" s="36"/>
      <x:c r="I21" s="2"/>
      <x:c r="J21" s="2" t="str">
        <x:v>Year</x:v>
      </x:c>
      <x:c r="K21" s="2" t="str">
        <x:v>Revenue</x:v>
      </x:c>
      <x:c r="L21" s="2" t="str">
        <x:v>PBT</x:v>
      </x:c>
      <x:c r="M21" s="2"/>
      <x:c r="N21" s="2"/>
      <x:c r="O21" s="2"/>
      <x:c r="P21" s="2"/>
      <x:c r="Q21" s="2"/>
    </x:row>
    <x:row r="22" ht="15" hidden="0" customHeight="1">
      <x:c r="C22" s="2" t="str">
        <x:v>Open items</x:v>
      </x:c>
      <x:c r="D22" s="36" t="str">
        <x:v>Segment taxonomy bridge, corporate actions, working capital notes and normalized share count</x:v>
      </x:c>
      <x:c r="E22" s="36"/>
      <x:c r="F22" s="36"/>
      <x:c r="G22" s="36"/>
      <x:c r="H22" s="36"/>
      <x:c r="I22" s="2"/>
      <x:c r="J22" s="2" t="n">
        <x:v>2020</x:v>
      </x:c>
      <x:c r="K22" s="2" t="n">
        <x:f>D6</x:f>
        <x:v>29830.400526824</x:v>
      </x:c>
      <x:c r="L22" s="2" t="n">
        <x:f>D8</x:f>
        <x:v>5263.456629967</x:v>
      </x:c>
      <x:c r="M22" s="2"/>
      <x:c r="N22" s="2"/>
      <x:c r="O22" s="2"/>
      <x:c r="P22" s="2"/>
      <x:c r="Q22" s="2"/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 t="n">
        <x:v>2021</x:v>
      </x:c>
      <x:c r="K23" s="2" t="n">
        <x:f>E6</x:f>
        <x:v>35657.262545027</x:v>
      </x:c>
      <x:c r="L23" s="2" t="n">
        <x:f>E8</x:f>
        <x:v>6337.206440958</x:v>
      </x:c>
      <x:c r="M23" s="2"/>
      <x:c r="N23" s="2"/>
      <x:c r="O23" s="2"/>
      <x:c r="P23" s="2"/>
      <x:c r="Q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 t="n">
        <x:v>2022</x:v>
      </x:c>
      <x:c r="K24" s="2" t="n">
        <x:f>F6</x:f>
        <x:v>44009.527680911</x:v>
      </x:c>
      <x:c r="L24" s="2" t="n">
        <x:f>F8</x:f>
        <x:v>7662.28295988</x:v>
      </x:c>
      <x:c r="M24" s="2"/>
      <x:c r="N24" s="2"/>
      <x:c r="O24" s="2"/>
      <x:c r="P24" s="2"/>
      <x:c r="Q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 t="n">
        <x:v>2023</x:v>
      </x:c>
      <x:c r="K25" s="2" t="n">
        <x:f>G6</x:f>
        <x:v>52617.900827385</x:v>
      </x:c>
      <x:c r="L25" s="2" t="n">
        <x:f>G8</x:f>
        <x:v>9203.00609857</x:v>
      </x:c>
      <x:c r="M25" s="2"/>
      <x:c r="N25" s="2"/>
      <x:c r="O25" s="2"/>
      <x:c r="P25" s="2"/>
      <x:c r="Q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 t="n">
        <x:v>2024</x:v>
      </x:c>
      <x:c r="K26" s="2" t="n">
        <x:f>H6</x:f>
        <x:v>62848.794351367</x:v>
      </x:c>
      <x:c r="L26" s="2" t="n">
        <x:f>H8</x:f>
        <x:v>11069.666417819</x:v>
      </x:c>
      <x:c r="M26" s="2"/>
      <x:c r="N26" s="2"/>
      <x:c r="O26" s="2"/>
      <x:c r="P26" s="2"/>
      <x:c r="Q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18:H18"/>
    <x:mergeCell ref="D19:H19"/>
    <x:mergeCell ref="D20:H20"/>
    <x:mergeCell ref="D21:H21"/>
    <x:mergeCell ref="D22:H22"/>
  </x:mergeCells>
  <x:pageMargins left="0.7" right="0.7" top="0.75" bottom="0.75" header="0.3" footer="0.3"/>
  <x:drawing xmlns:r="http://schemas.openxmlformats.org/officeDocument/2006/relationships" r:id="Rb521b72043c44c0c"/>
</x:worksheet>
</file>

<file path=xl/worksheets/sheet2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Metric</x:v>
      </x:c>
      <x:c r="D5" s="16" t="str">
        <x:v>Unit</x:v>
      </x:c>
      <x:c r="E5" s="16" t="n">
        <x:v>2020</x:v>
      </x:c>
      <x:c r="F5" s="16" t="n">
        <x:v>2021</x:v>
      </x:c>
      <x:c r="G5" s="16" t="n">
        <x:v>2022</x:v>
      </x:c>
      <x:c r="H5" s="16" t="n">
        <x:v>2023</x:v>
      </x:c>
      <x:c r="I5" s="17" t="n">
        <x:v>2024</x:v>
      </x:c>
      <x:c r="J5" s="2"/>
    </x:row>
    <x:row r="6" ht="15" hidden="0" customHeight="1">
      <x:c r="C6" s="2" t="str">
        <x:v>Net revenue</x:v>
      </x:c>
      <x:c r="D6" s="20" t="str">
        <x:v>VND bn</x:v>
      </x:c>
      <x:c r="E6" s="19" t="n">
        <x:v>29830.400526824</x:v>
      </x:c>
      <x:c r="F6" s="19" t="n">
        <x:v>35657.262545027</x:v>
      </x:c>
      <x:c r="G6" s="19" t="n">
        <x:v>44009.527680911</x:v>
      </x:c>
      <x:c r="H6" s="19" t="n">
        <x:v>52617.900827385</x:v>
      </x:c>
      <x:c r="I6" s="19" t="n">
        <x:v>62848.794351367</x:v>
      </x:c>
      <x:c r="J6" s="2"/>
    </x:row>
    <x:row r="7" ht="15" hidden="0" customHeight="1">
      <x:c r="C7" s="2" t="str">
        <x:v>Gross profit</x:v>
      </x:c>
      <x:c r="D7" s="20" t="str">
        <x:v>VND bn</x:v>
      </x:c>
      <x:c r="E7" s="19" t="n">
        <x:v>11617.339725623</x:v>
      </x:c>
      <x:c r="F7" s="19" t="n">
        <x:v>13631.964236778</x:v>
      </x:c>
      <x:c r="G7" s="19" t="n">
        <x:v>17167.278641198</x:v>
      </x:c>
      <x:c r="H7" s="19" t="n">
        <x:v>20319.553444682</x:v>
      </x:c>
      <x:c r="I7" s="19" t="n">
        <x:v>23698.348369916</x:v>
      </x:c>
      <x:c r="J7" s="2"/>
    </x:row>
    <x:row r="8" ht="15" hidden="0" customHeight="1">
      <x:c r="C8" s="2" t="str">
        <x:v>Net operating profit</x:v>
      </x:c>
      <x:c r="D8" s="20" t="str">
        <x:v>VND bn</x:v>
      </x:c>
      <x:c r="E8" s="19" t="n">
        <x:v>5190.654463931</x:v>
      </x:c>
      <x:c r="F8" s="19" t="n">
        <x:v>6228.494136764</x:v>
      </x:c>
      <x:c r="G8" s="19" t="n">
        <x:v>7589.289622311</x:v>
      </x:c>
      <x:c r="H8" s="19" t="n">
        <x:v>9111.745534433</x:v>
      </x:c>
      <x:c r="I8" s="19" t="n">
        <x:v>11025.080772955</x:v>
      </x:c>
      <x:c r="J8" s="2"/>
    </x:row>
    <x:row r="9" ht="15" hidden="0" customHeight="1">
      <x:c r="C9" s="2" t="str">
        <x:v>Profit before tax</x:v>
      </x:c>
      <x:c r="D9" s="20" t="str">
        <x:v>VND bn</x:v>
      </x:c>
      <x:c r="E9" s="19" t="n">
        <x:v>5263.456629967</x:v>
      </x:c>
      <x:c r="F9" s="19" t="n">
        <x:v>6337.206440958</x:v>
      </x:c>
      <x:c r="G9" s="19" t="n">
        <x:v>7662.28295988</x:v>
      </x:c>
      <x:c r="H9" s="19" t="n">
        <x:v>9203.00609857</x:v>
      </x:c>
      <x:c r="I9" s="19" t="n">
        <x:v>11069.666417819</x:v>
      </x:c>
      <x:c r="J9" s="2"/>
    </x:row>
    <x:row r="10" ht="15" hidden="0" customHeight="1">
      <x:c r="C10" s="2" t="str">
        <x:v>Profit after tax</x:v>
      </x:c>
      <x:c r="D10" s="20" t="str">
        <x:v>VND bn</x:v>
      </x:c>
      <x:c r="E10" s="19" t="n">
        <x:v>4423.745217598</x:v>
      </x:c>
      <x:c r="F10" s="19" t="n">
        <x:v>5349.301099496</x:v>
      </x:c>
      <x:c r="G10" s="19" t="n">
        <x:v>6491.343454469</x:v>
      </x:c>
      <x:c r="H10" s="19" t="n">
        <x:v>7788.049739616</x:v>
      </x:c>
      <x:c r="I10" s="19" t="n">
        <x:v>9427.422530444</x:v>
      </x:c>
      <x:c r="J10" s="2"/>
    </x:row>
    <x:row r="11" ht="15" hidden="0" customHeight="1">
      <x:c r="C11" s="2" t="str">
        <x:v>  Parent profit after tax</x:v>
      </x:c>
      <x:c r="D11" s="20" t="str">
        <x:v>VND bn</x:v>
      </x:c>
      <x:c r="E11" s="19" t="n">
        <x:v>3538.007738822</x:v>
      </x:c>
      <x:c r="F11" s="19" t="n">
        <x:v>4337.411879802</x:v>
      </x:c>
      <x:c r="G11" s="19" t="n">
        <x:v>5310.108591408</x:v>
      </x:c>
      <x:c r="H11" s="19" t="n">
        <x:v>6465.190432622</x:v>
      </x:c>
      <x:c r="I11" s="19" t="n">
        <x:v>7856.767812178</x:v>
      </x:c>
      <x:c r="J11" s="2"/>
    </x:row>
    <x:row r="12" ht="15" hidden="0" customHeight="1">
      <x:c r="C12" s="2" t="str">
        <x:v>  NCI profit after tax</x:v>
      </x:c>
      <x:c r="D12" s="20" t="str">
        <x:v>VND bn</x:v>
      </x:c>
      <x:c r="E12" s="19" t="n">
        <x:v>885.737478776</x:v>
      </x:c>
      <x:c r="F12" s="19" t="n">
        <x:v>1011.889219694</x:v>
      </x:c>
      <x:c r="G12" s="19" t="n">
        <x:v>1181.234863061</x:v>
      </x:c>
      <x:c r="H12" s="19" t="n">
        <x:v>1322.859306994</x:v>
      </x:c>
      <x:c r="I12" s="19" t="n">
        <x:v>1570.654718266</x:v>
      </x:c>
      <x:c r="J12" s="2"/>
    </x:row>
    <x:row r="13" ht="15" hidden="0" customHeight="1">
      <x:c r="C13" s="2" t="str">
        <x:v>Operating cash flow</x:v>
      </x:c>
      <x:c r="D13" s="20" t="str">
        <x:v>VND bn</x:v>
      </x:c>
      <x:c r="E13" s="19" t="n">
        <x:v>6339.679033336</x:v>
      </x:c>
      <x:c r="F13" s="19" t="n">
        <x:v>5839.693554727</x:v>
      </x:c>
      <x:c r="G13" s="19" t="n">
        <x:v>5053.8317567</x:v>
      </x:c>
      <x:c r="H13" s="19" t="n">
        <x:v>9517.095698405</x:v>
      </x:c>
      <x:c r="I13" s="19" t="n">
        <x:v>11703.777188868</x:v>
      </x:c>
      <x:c r="J13" s="2"/>
    </x:row>
    <x:row r="14" ht="15" hidden="0" customHeight="1">
      <x:c r="C14" s="2" t="str">
        <x:v>Capital expenditure purchases</x:v>
      </x:c>
      <x:c r="D14" s="20" t="str">
        <x:v>VND bn</x:v>
      </x:c>
      <x:c r="E14" s="19" t="n">
        <x:v>3017.645357713</x:v>
      </x:c>
      <x:c r="F14" s="19" t="n">
        <x:v>2911.001172725</x:v>
      </x:c>
      <x:c r="G14" s="19" t="n">
        <x:v>3215.243200871</x:v>
      </x:c>
      <x:c r="H14" s="19" t="n">
        <x:v>3978.252082224</x:v>
      </x:c>
      <x:c r="I14" s="19" t="n">
        <x:v>3275.312325702</x:v>
      </x:c>
      <x:c r="J14" s="2"/>
    </x:row>
    <x:row r="15" ht="15" hidden="0" customHeight="1">
      <x:c r="C15" s="2" t="str">
        <x:v>Dividends paid</x:v>
      </x:c>
      <x:c r="D15" s="20" t="str">
        <x:v>VND bn</x:v>
      </x:c>
      <x:c r="E15" s="19" t="n">
        <x:v>1899.079382925</x:v>
      </x:c>
      <x:c r="F15" s="19" t="n">
        <x:v>2254.183945975</x:v>
      </x:c>
      <x:c r="G15" s="19" t="n">
        <x:v>2222.134795995</x:v>
      </x:c>
      <x:c r="H15" s="19" t="n">
        <x:v>2930.628448135</x:v>
      </x:c>
      <x:c r="I15" s="19" t="n">
        <x:v>3291.859792121</x:v>
      </x:c>
      <x:c r="J15" s="2"/>
    </x:row>
    <x:row r="16" ht="15" hidden="0" customHeight="1">
      <x:c r="C16" s="2" t="str">
        <x:v>Cash and equivalents</x:v>
      </x:c>
      <x:c r="D16" s="20" t="str">
        <x:v>VND bn</x:v>
      </x:c>
      <x:c r="E16" s="19" t="n">
        <x:v>4686.191374038</x:v>
      </x:c>
      <x:c r="F16" s="19" t="n">
        <x:v>5417.845293242</x:v>
      </x:c>
      <x:c r="G16" s="19" t="n">
        <x:v>6440.177174322</x:v>
      </x:c>
      <x:c r="H16" s="19" t="n">
        <x:v>8279.156683221</x:v>
      </x:c>
      <x:c r="I16" s="19" t="n">
        <x:v>9315.440438884</x:v>
      </x:c>
      <x:c r="J16" s="2"/>
    </x:row>
    <x:row r="17" ht="15" hidden="0" customHeight="1">
      <x:c r="C17" s="2" t="str">
        <x:v>Short-term investments</x:v>
      </x:c>
      <x:c r="D17" s="20" t="str">
        <x:v>VND bn</x:v>
      </x:c>
      <x:c r="E17" s="19" t="n">
        <x:v>12435.918124269</x:v>
      </x:c>
      <x:c r="F17" s="19" t="n">
        <x:v>20730.720735456</x:v>
      </x:c>
      <x:c r="G17" s="19" t="n">
        <x:v>13047.23413195</x:v>
      </x:c>
      <x:c r="H17" s="19" t="n">
        <x:v>16104.20535801</x:v>
      </x:c>
      <x:c r="I17" s="19" t="n">
        <x:v>21785.213686808</x:v>
      </x:c>
      <x:c r="J17" s="2"/>
    </x:row>
    <x:row r="18" ht="15" hidden="0" customHeight="1">
      <x:c r="C18" s="2" t="str">
        <x:v>Trade receivables, net</x:v>
      </x:c>
      <x:c r="D18" s="20" t="str">
        <x:v>VND bn</x:v>
      </x:c>
      <x:c r="E18" s="19" t="n">
        <x:v>5564.392191491</x:v>
      </x:c>
      <x:c r="F18" s="19" t="n">
        <x:v>6211.956510246</x:v>
      </x:c>
      <x:c r="G18" s="19" t="n">
        <x:v>7990.076948983</x:v>
      </x:c>
      <x:c r="H18" s="19" t="n">
        <x:v>9057.647206985</x:v>
      </x:c>
      <x:c r="I18" s="19" t="n">
        <x:v>10537.01911338</x:v>
      </x:c>
      <x:c r="J18" s="2"/>
    </x:row>
    <x:row r="19" ht="15" hidden="0" customHeight="1">
      <x:c r="C19" s="2" t="str">
        <x:v>Inventories, net</x:v>
      </x:c>
      <x:c r="D19" s="20" t="str">
        <x:v>VND bn</x:v>
      </x:c>
      <x:c r="E19" s="19" t="n">
        <x:v>1290.091524352</x:v>
      </x:c>
      <x:c r="F19" s="19" t="n">
        <x:v>1507.342901619</x:v>
      </x:c>
      <x:c r="G19" s="19" t="n">
        <x:v>1965.787736563</x:v>
      </x:c>
      <x:c r="H19" s="19" t="n">
        <x:v>1593.411075233</x:v>
      </x:c>
      <x:c r="I19" s="19" t="n">
        <x:v>1856.75694903</x:v>
      </x:c>
      <x:c r="J19" s="2"/>
    </x:row>
    <x:row r="20" ht="15" hidden="0" customHeight="1">
      <x:c r="C20" s="2" t="str">
        <x:v>Total assets</x:v>
      </x:c>
      <x:c r="D20" s="20" t="str">
        <x:v>VND bn</x:v>
      </x:c>
      <x:c r="E20" s="19" t="n">
        <x:v>41734.323235194</x:v>
      </x:c>
      <x:c r="F20" s="19" t="n">
        <x:v>53697.940895875</x:v>
      </x:c>
      <x:c r="G20" s="19" t="n">
        <x:v>51650.40373513</x:v>
      </x:c>
      <x:c r="H20" s="19" t="n">
        <x:v>60282.827532899</x:v>
      </x:c>
      <x:c r="I20" s="19" t="n">
        <x:v>71999.99567862</x:v>
      </x:c>
      <x:c r="J20" s="2"/>
    </x:row>
    <x:row r="21" ht="15" hidden="0" customHeight="1">
      <x:c r="C21" s="2" t="str">
        <x:v>Total liabilities</x:v>
      </x:c>
      <x:c r="D21" s="20" t="str">
        <x:v>VND bn</x:v>
      </x:c>
      <x:c r="E21" s="19" t="n">
        <x:v>23128.655834466</x:v>
      </x:c>
      <x:c r="F21" s="19" t="n">
        <x:v>32279.955665838</x:v>
      </x:c>
      <x:c r="G21" s="19" t="n">
        <x:v>26294.279047318</x:v>
      </x:c>
      <x:c r="H21" s="19" t="n">
        <x:v>30349.816316666</x:v>
      </x:c>
      <x:c r="I21" s="19" t="n">
        <x:v>36272.45557382</x:v>
      </x:c>
      <x:c r="J21" s="2"/>
    </x:row>
    <x:row r="22" ht="15" hidden="0" customHeight="1">
      <x:c r="C22" s="2" t="str">
        <x:v>Short-term borrowings</x:v>
      </x:c>
      <x:c r="D22" s="20" t="str">
        <x:v>VND bn</x:v>
      </x:c>
      <x:c r="E22" s="19" t="n">
        <x:v>12062.41019274</x:v>
      </x:c>
      <x:c r="F22" s="19" t="n">
        <x:v>17799.441187777</x:v>
      </x:c>
      <x:c r="G22" s="19" t="n">
        <x:v>10904.344845014</x:v>
      </x:c>
      <x:c r="H22" s="19" t="n">
        <x:v>13837.894474107</x:v>
      </x:c>
      <x:c r="I22" s="19" t="n">
        <x:v>14446.238451323</x:v>
      </x:c>
      <x:c r="J22" s="2"/>
    </x:row>
    <x:row r="23" ht="15" hidden="0" customHeight="1">
      <x:c r="C23" s="2" t="str">
        <x:v>Long-term borrowings</x:v>
      </x:c>
      <x:c r="D23" s="20" t="str">
        <x:v>VND bn</x:v>
      </x:c>
      <x:c r="E23" s="19" t="n">
        <x:v>677.796913413</x:v>
      </x:c>
      <x:c r="F23" s="19" t="n">
        <x:v>2296.308493046</x:v>
      </x:c>
      <x:c r="G23" s="19" t="n">
        <x:v>1477.83033399</x:v>
      </x:c>
      <x:c r="H23" s="19" t="n">
        <x:v>208.074996962</x:v>
      </x:c>
      <x:c r="I23" s="19" t="n">
        <x:v>501.115537075</x:v>
      </x:c>
      <x:c r="J23" s="2"/>
    </x:row>
    <x:row r="24" ht="15" hidden="0" customHeight="1">
      <x:c r="C24" s="2" t="str">
        <x:v>Total owners' equity</x:v>
      </x:c>
      <x:c r="D24" s="20" t="str">
        <x:v>VND bn</x:v>
      </x:c>
      <x:c r="E24" s="19" t="n">
        <x:v>18605.667400728</x:v>
      </x:c>
      <x:c r="F24" s="19" t="n">
        <x:v>21417.985230037</x:v>
      </x:c>
      <x:c r="G24" s="19" t="n">
        <x:v>25356.124687812</x:v>
      </x:c>
      <x:c r="H24" s="19" t="n">
        <x:v>29933.011216233</x:v>
      </x:c>
      <x:c r="I24" s="19" t="n">
        <x:v>35727.5401048</x:v>
      </x:c>
      <x:c r="J24" s="2"/>
    </x:row>
    <x:row r="25" ht="15" hidden="0" customHeight="1">
      <x:c r="C25" s="2" t="str">
        <x:v>  NCI equity</x:v>
      </x:c>
      <x:c r="D25" s="20" t="str">
        <x:v>VND bn</x:v>
      </x:c>
      <x:c r="E25" s="19" t="n">
        <x:v>2860.094124424</x:v>
      </x:c>
      <x:c r="F25" s="19" t="n">
        <x:v>3477.041138837</x:v>
      </x:c>
      <x:c r="G25" s="19" t="n">
        <x:v>4309.656273198</x:v>
      </x:c>
      <x:c r="H25" s="19" t="n">
        <x:v>4958.854855687</x:v>
      </x:c>
      <x:c r="I25" s="19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3" t="str">
        <x:v>Reconciliation checks (VND billion)</x:v>
      </x:c>
      <x:c r="D28" s="24" t="str">
        <x:v>Reconciliation checks (VND billion)</x:v>
      </x:c>
      <x:c r="E28" s="24" t="str">
        <x:v>Reconciliation checks (VND billion)</x:v>
      </x:c>
      <x:c r="F28" s="24" t="str">
        <x:v>Reconciliation checks (VND billion)</x:v>
      </x:c>
      <x:c r="G28" s="24" t="str">
        <x:v>Reconciliation checks (VND billion)</x:v>
      </x:c>
      <x:c r="H28" s="24" t="str">
        <x:v>Reconciliation checks (VND billion)</x:v>
      </x:c>
      <x:c r="I28" s="25" t="str">
        <x:v>Reconciliation checks (VND billion)</x:v>
      </x:c>
      <x:c r="J28" s="2"/>
    </x:row>
    <x:row r="29" ht="15" hidden="0" customHeight="1">
      <x:c r="C29" s="15" t="str">
        <x:v>Check</x:v>
      </x:c>
      <x:c r="D29" s="16" t="str">
        <x:v>Tolerance</x:v>
      </x:c>
      <x:c r="E29" s="16" t="n">
        <x:v>2020</x:v>
      </x:c>
      <x:c r="F29" s="16" t="n">
        <x:v>2021</x:v>
      </x:c>
      <x:c r="G29" s="16" t="n">
        <x:v>2022</x:v>
      </x:c>
      <x:c r="H29" s="16" t="n">
        <x:v>2023</x:v>
      </x:c>
      <x:c r="I29" s="17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26" t="n">
        <x:f>ROUND(E20-E21-E24,2)</x:f>
        <x:v>0</x:v>
      </x:c>
      <x:c r="F30" s="26" t="n">
        <x:f>ROUND(F20-F21-F24,2)</x:f>
        <x:v>0</x:v>
      </x:c>
      <x:c r="G30" s="26" t="n">
        <x:f>ROUND(G20-G21-G24,2)</x:f>
        <x:v>0</x:v>
      </x:c>
      <x:c r="H30" s="26" t="n">
        <x:f>ROUND(H20-H21-H24,2)</x:f>
        <x:v>0</x:v>
      </x:c>
      <x:c r="I30" s="26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26" t="n">
        <x:f>ROUND(E10-E11-E12,2)</x:f>
        <x:v>0</x:v>
      </x:c>
      <x:c r="F31" s="26" t="n">
        <x:f>ROUND(F10-F11-F12,2)</x:f>
        <x:v>0</x:v>
      </x:c>
      <x:c r="G31" s="26" t="n">
        <x:f>ROUND(G10-G11-G12,2)</x:f>
        <x:v>0</x:v>
      </x:c>
      <x:c r="H31" s="26" t="n">
        <x:f>ROUND(H10-H11-H12,2)</x:f>
        <x:v>0</x:v>
      </x:c>
      <x:c r="I31" s="26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27" t="str">
        <x:v>Source pages</x:v>
      </x:c>
      <x:c r="D34" s="27" t="str"/>
      <x:c r="E34" s="27" t="str">
        <x:v>fpt_ar_2021 pp. 72-75</x:v>
      </x:c>
      <x:c r="F34" s="27" t="str">
        <x:v>fpt_ar_2021 pp. 72-75</x:v>
      </x:c>
      <x:c r="G34" s="27" t="str">
        <x:v>fpt_ar_2022 pp. 71-74</x:v>
      </x:c>
      <x:c r="H34" s="27" t="str">
        <x:v>fpt_ar_2023 pp. 143-151</x:v>
      </x:c>
      <x:c r="I34" s="27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0" priority="1">
      <x:formula>ABS(E30)&gt;$D30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Period</x:v>
      </x:c>
      <x:c r="D5" s="16" t="str">
        <x:v>Metric</x:v>
      </x:c>
      <x:c r="E5" s="16" t="str">
        <x:v>Segment</x:v>
      </x:c>
      <x:c r="F5" s="16" t="str">
        <x:v>Value</x:v>
      </x:c>
      <x:c r="G5" s="16" t="str">
        <x:v>Unit</x:v>
      </x:c>
      <x:c r="H5" s="16" t="str">
        <x:v>Source</x:v>
      </x:c>
      <x:c r="I5" s="16" t="str">
        <x:v>Page</x:v>
      </x:c>
      <x:c r="J5" s="17" t="str">
        <x:v>Comparison note</x:v>
      </x:c>
    </x:row>
    <x:row r="6" ht="15" hidden="0" customHeight="1">
      <x:c r="C6" s="37" t="n">
        <x:v>45930</x:v>
      </x:c>
      <x:c r="D6" s="2" t="str">
        <x:v>revenue</x:v>
      </x:c>
      <x:c r="E6" s="2" t="str">
        <x:v>group</x:v>
      </x:c>
      <x:c r="F6" s="19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37" t="n">
        <x:v>45930</x:v>
      </x:c>
      <x:c r="D7" s="2" t="str">
        <x:v>profit_before_tax</x:v>
      </x:c>
      <x:c r="E7" s="2" t="str">
        <x:v>group</x:v>
      </x:c>
      <x:c r="F7" s="19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37" t="n">
        <x:v>45930</x:v>
      </x:c>
      <x:c r="D8" s="2" t="str">
        <x:v>profit_after_tax</x:v>
      </x:c>
      <x:c r="E8" s="2" t="str">
        <x:v>group</x:v>
      </x:c>
      <x:c r="F8" s="19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37" t="n">
        <x:v>45930</x:v>
      </x:c>
      <x:c r="D9" s="2" t="str">
        <x:v>parent_profit_after_tax</x:v>
      </x:c>
      <x:c r="E9" s="2" t="str">
        <x:v>group</x:v>
      </x:c>
      <x:c r="F9" s="19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37" t="n">
        <x:v>45930</x:v>
      </x:c>
      <x:c r="D10" s="2" t="str">
        <x:v>basic_eps</x:v>
      </x:c>
      <x:c r="E10" s="2" t="str">
        <x:v>group</x:v>
      </x:c>
      <x:c r="F10" s="19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37" t="n">
        <x:v>45930</x:v>
      </x:c>
      <x:c r="D11" s="2" t="str">
        <x:v>revenue</x:v>
      </x:c>
      <x:c r="E11" s="2" t="str">
        <x:v>technology_sector</x:v>
      </x:c>
      <x:c r="F11" s="19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37" t="n">
        <x:v>45930</x:v>
      </x:c>
      <x:c r="D12" s="2" t="str">
        <x:v>profit_before_tax</x:v>
      </x:c>
      <x:c r="E12" s="2" t="str">
        <x:v>technology_sector</x:v>
      </x:c>
      <x:c r="F12" s="19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37" t="n">
        <x:v>45930</x:v>
      </x:c>
      <x:c r="D13" s="2" t="str">
        <x:v>revenue</x:v>
      </x:c>
      <x:c r="E13" s="2" t="str">
        <x:v>telecommunications_sector</x:v>
      </x:c>
      <x:c r="F13" s="19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37" t="n">
        <x:v>45930</x:v>
      </x:c>
      <x:c r="D14" s="2" t="str">
        <x:v>profit_before_tax</x:v>
      </x:c>
      <x:c r="E14" s="2" t="str">
        <x:v>telecommunications_sector</x:v>
      </x:c>
      <x:c r="F14" s="19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37" t="n">
        <x:v>45930</x:v>
      </x:c>
      <x:c r="D15" s="2" t="str">
        <x:v>revenue</x:v>
      </x:c>
      <x:c r="E15" s="2" t="str">
        <x:v>education_investment_other</x:v>
      </x:c>
      <x:c r="F15" s="19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37" t="n">
        <x:v>45930</x:v>
      </x:c>
      <x:c r="D16" s="2" t="str">
        <x:v>profit_before_tax</x:v>
      </x:c>
      <x:c r="E16" s="2" t="str">
        <x:v>education_investment_other</x:v>
      </x:c>
      <x:c r="F16" s="19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37" t="n">
        <x:v>45930</x:v>
      </x:c>
      <x:c r="D17" s="2" t="str">
        <x:v>revenue</x:v>
      </x:c>
      <x:c r="E17" s="2" t="str">
        <x:v>global_it_services</x:v>
      </x:c>
      <x:c r="F17" s="19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37" t="n">
        <x:v>45930</x:v>
      </x:c>
      <x:c r="D18" s="2" t="str">
        <x:v>profit_before_tax</x:v>
      </x:c>
      <x:c r="E18" s="2" t="str">
        <x:v>global_it_services</x:v>
      </x:c>
      <x:c r="F18" s="19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37" t="n">
        <x:v>45930</x:v>
      </x:c>
      <x:c r="D19" s="2" t="str">
        <x:v>revenue</x:v>
      </x:c>
      <x:c r="E19" s="2" t="str">
        <x:v>domestic_it_services</x:v>
      </x:c>
      <x:c r="F19" s="19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37" t="n">
        <x:v>45930</x:v>
      </x:c>
      <x:c r="D20" s="2" t="str">
        <x:v>profit_before_tax</x:v>
      </x:c>
      <x:c r="E20" s="2" t="str">
        <x:v>domestic_it_services</x:v>
      </x:c>
      <x:c r="F20" s="19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37" t="n">
        <x:v>45930</x:v>
      </x:c>
      <x:c r="D21" s="2" t="str">
        <x:v>revenue</x:v>
      </x:c>
      <x:c r="E21" s="2" t="str">
        <x:v>telecom_services</x:v>
      </x:c>
      <x:c r="F21" s="19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37" t="n">
        <x:v>45930</x:v>
      </x:c>
      <x:c r="D22" s="2" t="str">
        <x:v>profit_before_tax</x:v>
      </x:c>
      <x:c r="E22" s="2" t="str">
        <x:v>telecom_services</x:v>
      </x:c>
      <x:c r="F22" s="19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37" t="n">
        <x:v>45930</x:v>
      </x:c>
      <x:c r="D23" s="2" t="str">
        <x:v>revenue</x:v>
      </x:c>
      <x:c r="E23" s="2" t="str">
        <x:v>online_advertising</x:v>
      </x:c>
      <x:c r="F23" s="19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37" t="n">
        <x:v>45930</x:v>
      </x:c>
      <x:c r="D24" s="2" t="str">
        <x:v>profit_before_tax</x:v>
      </x:c>
      <x:c r="E24" s="2" t="str">
        <x:v>online_advertising</x:v>
      </x:c>
      <x:c r="F24" s="19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37" t="n">
        <x:v>45930</x:v>
      </x:c>
      <x:c r="D25" s="2" t="str">
        <x:v>revenue</x:v>
      </x:c>
      <x:c r="E25" s="2" t="str">
        <x:v>digital_transformation_global_it</x:v>
      </x:c>
      <x:c r="F25" s="19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37" t="n">
        <x:v>45930</x:v>
      </x:c>
      <x:c r="D26" s="2" t="str">
        <x:v>revenue</x:v>
      </x:c>
      <x:c r="E26" s="2" t="str">
        <x:v>global_it_japan</x:v>
      </x:c>
      <x:c r="F26" s="19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37" t="n">
        <x:v>45930</x:v>
      </x:c>
      <x:c r="D27" s="2" t="str">
        <x:v>revenue</x:v>
      </x:c>
      <x:c r="E27" s="2" t="str">
        <x:v>global_it_us</x:v>
      </x:c>
      <x:c r="F27" s="19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37" t="n">
        <x:v>45930</x:v>
      </x:c>
      <x:c r="D28" s="2" t="str">
        <x:v>revenue</x:v>
      </x:c>
      <x:c r="E28" s="2" t="str">
        <x:v>global_it_eu</x:v>
      </x:c>
      <x:c r="F28" s="19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37" t="n">
        <x:v>45930</x:v>
      </x:c>
      <x:c r="D29" s="2" t="str">
        <x:v>revenue</x:v>
      </x:c>
      <x:c r="E29" s="2" t="str">
        <x:v>global_it_apac</x:v>
      </x:c>
      <x:c r="F29" s="19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37" t="n">
        <x:v>45930</x:v>
      </x:c>
      <x:c r="D30" s="2" t="str">
        <x:v>signed_revenue</x:v>
      </x:c>
      <x:c r="E30" s="2" t="str">
        <x:v>global_it_services</x:v>
      </x:c>
      <x:c r="F30" s="19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37" t="n">
        <x:v>45930</x:v>
      </x:c>
      <x:c r="D31" s="2" t="str">
        <x:v>client_count_revenue_ge_500k_usd</x:v>
      </x:c>
      <x:c r="E31" s="2" t="str">
        <x:v>global_it_services</x:v>
      </x:c>
      <x:c r="F31" s="19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37" t="n">
        <x:v>45930</x:v>
      </x:c>
      <x:c r="D32" s="2" t="str">
        <x:v>client_count_revenue_ge_1m_usd</x:v>
      </x:c>
      <x:c r="E32" s="2" t="str">
        <x:v>global_it_services</x:v>
      </x:c>
      <x:c r="F32" s="19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37" t="n">
        <x:v>45930</x:v>
      </x:c>
      <x:c r="D33" s="2" t="str">
        <x:v>deal_count_500k_to_1m_usd</x:v>
      </x:c>
      <x:c r="E33" s="2" t="str">
        <x:v>global_it_services</x:v>
      </x:c>
      <x:c r="F33" s="19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37" t="n">
        <x:v>45930</x:v>
      </x:c>
      <x:c r="D34" s="2" t="str">
        <x:v>deal_count_1m_to_10m_usd</x:v>
      </x:c>
      <x:c r="E34" s="2" t="str">
        <x:v>global_it_services</x:v>
      </x:c>
      <x:c r="F34" s="19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37" t="n">
        <x:v>45930</x:v>
      </x:c>
      <x:c r="D35" s="2" t="str">
        <x:v>deal_count_ge_10m_usd</x:v>
      </x:c>
      <x:c r="E35" s="2" t="str">
        <x:v>global_it_services</x:v>
      </x:c>
      <x:c r="F35" s="19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37" t="n">
        <x:v>45930</x:v>
      </x:c>
      <x:c r="D36" s="2" t="str">
        <x:v>revenue</x:v>
      </x:c>
      <x:c r="E36" s="2" t="str">
        <x:v>made_by_fpt</x:v>
      </x:c>
      <x:c r="F36" s="19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37" t="n">
        <x:v>45930</x:v>
      </x:c>
      <x:c r="D37" s="2" t="str">
        <x:v>revenue</x:v>
      </x:c>
      <x:c r="E37" s="2" t="str">
        <x:v>telecom_broadband</x:v>
      </x:c>
      <x:c r="F37" s="19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37" t="n">
        <x:v>45930</x:v>
      </x:c>
      <x:c r="D38" s="2" t="str">
        <x:v>revenue</x:v>
      </x:c>
      <x:c r="E38" s="2" t="str">
        <x:v>telecom_other</x:v>
      </x:c>
      <x:c r="F38" s="19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37" t="n">
        <x:v>45930</x:v>
      </x:c>
      <x:c r="D39" s="2" t="str">
        <x:v>revenue</x:v>
      </x:c>
      <x:c r="E39" s="2" t="str">
        <x:v>education</x:v>
      </x:c>
      <x:c r="F39" s="19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 ht="15" hidden="0" customHeight="1">
      <x:c r="C43" s="2"/>
      <x:c r="D43" s="2"/>
      <x:c r="E43" s="2"/>
      <x:c r="F43" s="2"/>
      <x:c r="G43" s="2"/>
      <x:c r="H43" s="2"/>
      <x:c r="I43" s="2"/>
      <x:c r="J43" s="2"/>
    </x:row>
    <x:row r="44" ht="15" hidden="0" customHeight="1">
      <x:c r="C44" s="2"/>
      <x:c r="D44" s="2"/>
      <x:c r="E44" s="2"/>
      <x:c r="F44" s="2"/>
      <x:c r="G44" s="2"/>
      <x:c r="H44" s="2"/>
      <x:c r="I44" s="2"/>
      <x:c r="J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</x:row>
    <x:row r="46" ht="15" hidden="0" customHeight="1">
      <x:c r="C46" s="2"/>
      <x:c r="D46" s="2"/>
      <x:c r="E46" s="2"/>
      <x:c r="F46" s="2"/>
      <x:c r="G46" s="2"/>
      <x:c r="H46" s="2"/>
      <x:c r="I46" s="2"/>
      <x:c r="J46" s="2"/>
    </x:row>
    <x:row r="47" ht="15" hidden="0" customHeight="1">
      <x:c r="C47" s="2"/>
      <x:c r="D47" s="2"/>
      <x:c r="E47" s="2"/>
      <x:c r="F47" s="2"/>
      <x:c r="G47" s="2"/>
      <x:c r="H47" s="2"/>
      <x:c r="I47" s="2"/>
      <x:c r="J47" s="2"/>
    </x:row>
    <x:row r="48" ht="15" hidden="0" customHeight="1">
      <x:c r="C48" s="2"/>
      <x:c r="D48" s="2"/>
      <x:c r="E48" s="2"/>
      <x:c r="F48" s="2"/>
      <x:c r="G48" s="2"/>
      <x:c r="H48" s="2"/>
      <x:c r="I48" s="2"/>
      <x:c r="J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</x:row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A normalized diluted-share history is required before valuation.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Source</x:v>
      </x:c>
      <x:c r="D5" s="16" t="str">
        <x:v>Filing year</x:v>
      </x:c>
      <x:c r="E5" s="16" t="str">
        <x:v>Observation year</x:v>
      </x:c>
      <x:c r="F5" s="16" t="str">
        <x:v>Basic EPS</x:v>
      </x:c>
      <x:c r="G5" s="16" t="str">
        <x:v>Diluted EPS</x:v>
      </x:c>
      <x:c r="H5" s="16" t="str">
        <x:v>Presentation</x:v>
      </x:c>
      <x:c r="I5" s="16" t="str">
        <x:v>Page</x:v>
      </x:c>
      <x:c r="J5" s="17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39" t="n">
        <x:v>3579</x:v>
      </x:c>
      <x:c r="G6" s="39" t="n">
        <x:v>3579</x:v>
      </x:c>
      <x:c r="H6" s="2" t="str">
        <x:v>comparative</x:v>
      </x:c>
      <x:c r="I6" s="2" t="n">
        <x:v>74</x:v>
      </x:c>
      <x:c r="J6" s="36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39" t="n">
        <x:v>4349</x:v>
      </x:c>
      <x:c r="G7" s="39" t="n">
        <x:v>4349</x:v>
      </x:c>
      <x:c r="H7" s="2" t="str">
        <x:v>current_year</x:v>
      </x:c>
      <x:c r="I7" s="2" t="n">
        <x:v>74</x:v>
      </x:c>
      <x:c r="J7" s="36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39" t="n">
        <x:v>3618</x:v>
      </x:c>
      <x:c r="G8" s="39" t="n">
        <x:v>3618</x:v>
      </x:c>
      <x:c r="H8" s="2" t="str">
        <x:v>comparative</x:v>
      </x:c>
      <x:c r="I8" s="2" t="n">
        <x:v>73</x:v>
      </x:c>
      <x:c r="J8" s="36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39" t="n">
        <x:v>4429</x:v>
      </x:c>
      <x:c r="G9" s="39" t="n">
        <x:v>4429</x:v>
      </x:c>
      <x:c r="H9" s="2" t="str">
        <x:v>current_year</x:v>
      </x:c>
      <x:c r="I9" s="2" t="n">
        <x:v>73</x:v>
      </x:c>
      <x:c r="J9" s="36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39" t="n">
        <x:v>3847</x:v>
      </x:c>
      <x:c r="G10" s="39" t="n">
        <x:v>3847</x:v>
      </x:c>
      <x:c r="H10" s="2" t="str">
        <x:v>comparative</x:v>
      </x:c>
      <x:c r="I10" s="2" t="n">
        <x:v>149</x:v>
      </x:c>
      <x:c r="J10" s="36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39" t="n">
        <x:v>4661</x:v>
      </x:c>
      <x:c r="G11" s="39" t="n">
        <x:v>4661</x:v>
      </x:c>
      <x:c r="H11" s="2" t="str">
        <x:v>current_year</x:v>
      </x:c>
      <x:c r="I11" s="2" t="n">
        <x:v>149</x:v>
      </x:c>
      <x:c r="J11" s="36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39" t="n">
        <x:v>4052</x:v>
      </x:c>
      <x:c r="G12" s="39" t="n">
        <x:v>4052</x:v>
      </x:c>
      <x:c r="H12" s="2" t="str">
        <x:v>comparative</x:v>
      </x:c>
      <x:c r="I12" s="2" t="n">
        <x:v>152</x:v>
      </x:c>
      <x:c r="J12" s="36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39" t="n">
        <x:v>4944</x:v>
      </x:c>
      <x:c r="G13" s="39" t="n">
        <x:v>4944</x:v>
      </x:c>
      <x:c r="H13" s="2" t="str">
        <x:v>current_year</x:v>
      </x:c>
      <x:c r="I13" s="2" t="n">
        <x:v>152</x:v>
      </x:c>
      <x:c r="J13" s="36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15" t="str">
        <x:v>Fiscal year</x:v>
      </x:c>
      <x:c r="D5" s="16" t="str">
        <x:v>Beginning shares</x:v>
      </x:c>
      <x:c r="E5" s="16" t="str">
        <x:v>Employee / other issuance</x:v>
      </x:c>
      <x:c r="F5" s="16" t="str">
        <x:v>Share dividend shares</x:v>
      </x:c>
      <x:c r="G5" s="16" t="str">
        <x:v>Ending shares</x:v>
      </x:c>
      <x:c r="H5" s="16" t="str">
        <x:v>Roll-forward check</x:v>
      </x:c>
      <x:c r="I5" s="16" t="str">
        <x:v>Latest weighted average</x:v>
      </x:c>
      <x:c r="J5" s="16" t="str">
        <x:v>Basis filing</x:v>
      </x:c>
      <x:c r="K5" s="16" t="str">
        <x:v>Source</x:v>
      </x:c>
      <x:c r="L5" s="16" t="str">
        <x:v>Report page</x:v>
      </x:c>
      <x:c r="M5" s="17" t="str">
        <x:v>Note</x:v>
      </x:c>
    </x:row>
    <x:row r="6" ht="32" hidden="0" customHeight="1">
      <x:c r="C6" s="2" t="n">
        <x:v>2020</x:v>
      </x:c>
      <x:c r="D6" s="39" t="n">
        <x:v>678276312</x:v>
      </x:c>
      <x:c r="E6" s="39" t="n">
        <x:v>3391790</x:v>
      </x:c>
      <x:c r="F6" s="39" t="n">
        <x:v>102237008</x:v>
      </x:c>
      <x:c r="G6" s="39" t="n">
        <x:v>783905110</x:v>
      </x:c>
      <x:c r="H6" s="40" t="n">
        <x:f>D6+E6+F6-G6</x:f>
        <x:v>0</x:v>
      </x:c>
      <x:c r="I6" s="39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36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39" t="n">
        <x:v>783905110</x:v>
      </x:c>
      <x:c r="E7" s="39" t="n">
        <x:v>5209768</x:v>
      </x:c>
      <x:c r="F7" s="39" t="n">
        <x:v>118354395</x:v>
      </x:c>
      <x:c r="G7" s="39" t="n">
        <x:v>907469273</x:v>
      </x:c>
      <x:c r="H7" s="40" t="n">
        <x:f>D7+E7+F7-G7</x:f>
        <x:v>0</x:v>
      </x:c>
      <x:c r="I7" s="39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36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39" t="n">
        <x:v>907469273</x:v>
      </x:c>
      <x:c r="E8" s="39" t="n">
        <x:v>6726641</x:v>
      </x:c>
      <x:c r="F8" s="39" t="n">
        <x:v>182830658</x:v>
      </x:c>
      <x:c r="G8" s="39" t="n">
        <x:v>1097026572</x:v>
      </x:c>
      <x:c r="H8" s="40" t="n">
        <x:f>D8+E8+F8-G8</x:f>
        <x:v>0</x:v>
      </x:c>
      <x:c r="I8" s="39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36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39" t="n">
        <x:v>1097026572</x:v>
      </x:c>
      <x:c r="E9" s="39" t="n">
        <x:v>7305050</x:v>
      </x:c>
      <x:c r="F9" s="39" t="n">
        <x:v>165637253</x:v>
      </x:c>
      <x:c r="G9" s="39" t="n">
        <x:v>1269968875</x:v>
      </x:c>
      <x:c r="H9" s="40" t="n">
        <x:f>D9+E9+F9-G9</x:f>
        <x:v>0</x:v>
      </x:c>
      <x:c r="I9" s="39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36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39" t="n">
        <x:v>1269968875</x:v>
      </x:c>
      <x:c r="E10" s="39" t="n">
        <x:v>10621117</x:v>
      </x:c>
      <x:c r="F10" s="39" t="n">
        <x:v>190479191</x:v>
      </x:c>
      <x:c r="G10" s="39" t="n">
        <x:v>1471069183</x:v>
      </x:c>
      <x:c r="H10" s="40" t="n">
        <x:f>D10+E10+F10-G10</x:f>
        <x:v>0</x:v>
      </x:c>
      <x:c r="I10" s="39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36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1" priority="1">
      <x:formula>ABS(H6)&gt;0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Official FPT materials. Checksums refer to downloaded research snapshots;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15" t="str">
        <x:v>Source ID</x:v>
      </x:c>
      <x:c r="D5" s="16" t="str">
        <x:v>Document</x:v>
      </x:c>
      <x:c r="E5" s="16" t="str">
        <x:v>Period end</x:v>
      </x:c>
      <x:c r="F5" s="16" t="str">
        <x:v>URL</x:v>
      </x:c>
      <x:c r="G5" s="16" t="str">
        <x:v>SHA-256</x:v>
      </x:c>
      <x:c r="H5" s="16" t="str">
        <x:v>Status</x:v>
      </x:c>
      <x:c r="I5" s="16" t="str">
        <x:v>Clock A</x:v>
      </x:c>
      <x:c r="J5" s="17" t="str">
        <x:v>Notes</x:v>
      </x:c>
    </x:row>
    <x:row r="6" ht="30" hidden="0" customHeight="1">
      <x:c r="C6" s="36" t="str">
        <x:v>fpt_ar_2020</x:v>
      </x:c>
      <x:c r="D6" s="36" t="str">
        <x:v>Annual Report 2020</x:v>
      </x:c>
      <x:c r="E6" s="36" t="str">
        <x:v>2020-12-31</x:v>
      </x:c>
      <x:c r="F6" s="42" t="str">
        <x:v>https://fpt.com/api/media/bctn_2020_3e29e2eb59.pdf</x:v>
      </x:c>
      <x:c r="G6" s="36" t="str">
        <x:v>8b0615e03ebb021a2e5bb17e140b1e7c04032184cd300f7f6459b4e42d0b1897</x:v>
      </x:c>
      <x:c r="H6" s="36" t="str">
        <x:v>text extracted</x:v>
      </x:c>
      <x:c r="I6" s="36" t="str">
        <x:v>yes</x:v>
      </x:c>
      <x:c r="J6" s="36" t="str">
        <x:v>Core FY2020 values use FY2021 reclassified comparative</x:v>
      </x:c>
    </x:row>
    <x:row r="7" ht="30" hidden="0" customHeight="1">
      <x:c r="C7" s="36" t="str">
        <x:v>fpt_ar_2021</x:v>
      </x:c>
      <x:c r="D7" s="36" t="str">
        <x:v>Annual Report 2021</x:v>
      </x:c>
      <x:c r="E7" s="36" t="str">
        <x:v>2021-12-31</x:v>
      </x:c>
      <x:c r="F7" s="42" t="str">
        <x:v>https://fpt.com/api/media/ar_fpt_2021_en_cbc563965a.pdf</x:v>
      </x:c>
      <x:c r="G7" s="36" t="str">
        <x:v>ad7c8afbfbf73e70623b9d1bada8dd69d7185cfd48d79b452ab58b7244963cc5</x:v>
      </x:c>
      <x:c r="H7" s="36" t="str">
        <x:v>core facts extracted</x:v>
      </x:c>
      <x:c r="I7" s="36" t="str">
        <x:v>yes</x:v>
      </x:c>
      <x:c r="J7" s="36" t="str"/>
    </x:row>
    <x:row r="8" ht="30" hidden="0" customHeight="1">
      <x:c r="C8" s="36" t="str">
        <x:v>fpt_ar_2022</x:v>
      </x:c>
      <x:c r="D8" s="36" t="str">
        <x:v>Annual Report 2022</x:v>
      </x:c>
      <x:c r="E8" s="36" t="str">
        <x:v>2022-12-31</x:v>
      </x:c>
      <x:c r="F8" s="42" t="str">
        <x:v>https://fpt.com/api/media/arfpt_2022_acf5112890.pdf</x:v>
      </x:c>
      <x:c r="G8" s="36" t="str">
        <x:v>3ba9c4f13d4a196c6c9751b307e810aa5648651a84215dfe96f48111ac6d65cd</x:v>
      </x:c>
      <x:c r="H8" s="36" t="str">
        <x:v>core facts extracted</x:v>
      </x:c>
      <x:c r="I8" s="36" t="str">
        <x:v>yes</x:v>
      </x:c>
      <x:c r="J8" s="36" t="str"/>
    </x:row>
    <x:row r="9" ht="30" hidden="0" customHeight="1">
      <x:c r="C9" s="36" t="str">
        <x:v>fpt_ar_2023</x:v>
      </x:c>
      <x:c r="D9" s="36" t="str">
        <x:v>Annual Report 2023</x:v>
      </x:c>
      <x:c r="E9" s="36" t="str">
        <x:v>2023-12-31</x:v>
      </x:c>
      <x:c r="F9" s="42" t="str">
        <x:v>https://fpt.com/api/media/annual_report_fpt_2023_en_4287f2041d.pdf</x:v>
      </x:c>
      <x:c r="G9" s="36" t="str">
        <x:v>ff9315e1da78ccd4cfca9b75cc12946c73a761e125bfa512aeedf6417fda796c</x:v>
      </x:c>
      <x:c r="H9" s="36" t="str">
        <x:v>core facts extracted</x:v>
      </x:c>
      <x:c r="I9" s="36" t="str">
        <x:v>yes</x:v>
      </x:c>
      <x:c r="J9" s="36" t="str"/>
    </x:row>
    <x:row r="10" ht="30" hidden="0" customHeight="1">
      <x:c r="C10" s="36" t="str">
        <x:v>fpt_ar_2024</x:v>
      </x:c>
      <x:c r="D10" s="36" t="str">
        <x:v>Annual Report 2024</x:v>
      </x:c>
      <x:c r="E10" s="36" t="str">
        <x:v>2024-12-31</x:v>
      </x:c>
      <x:c r="F10" s="42" t="str">
        <x:v>https://fpt.com/api/media/fpt_annual_report_2024_63d63bc4cd.pdf</x:v>
      </x:c>
      <x:c r="G10" s="36" t="str">
        <x:v>fa791cffcea5e14e287af9df36f4ac8b5dd8a21c4a13be46495b30a56e3ee1c4</x:v>
      </x:c>
      <x:c r="H10" s="36" t="str">
        <x:v>core facts + visual check</x:v>
      </x:c>
      <x:c r="I10" s="36" t="str">
        <x:v>yes</x:v>
      </x:c>
      <x:c r="J10" s="36" t="str"/>
    </x:row>
    <x:row r="11" ht="30" hidden="0" customHeight="1">
      <x:c r="C11" s="36" t="str">
        <x:v>fpt_earnings_9m2025</x:v>
      </x:c>
      <x:c r="D11" s="36" t="str">
        <x:v>Earnings Report 9M2025</x:v>
      </x:c>
      <x:c r="E11" s="36" t="str">
        <x:v>2025-09-30</x:v>
      </x:c>
      <x:c r="F11" s="42" t="str">
        <x:v>https://fpt.com/api/media/FPT_Earnings_Report_9_M2025_7a1a6aa5d1.pdf</x:v>
      </x:c>
      <x:c r="G11" s="36" t="str">
        <x:v>27802e9d82e0f4d7f396693d5b26087a2847bcd3e2e82beef0f27a35f6b983f1</x:v>
      </x:c>
      <x:c r="H11" s="36" t="str">
        <x:v>operating facts + visual check</x:v>
      </x:c>
      <x:c r="I11" s="36" t="str">
        <x:v>yes</x:v>
      </x:c>
      <x:c r="J11" s="36" t="str">
        <x:v>Published before Clock A cutoff</x:v>
      </x:c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