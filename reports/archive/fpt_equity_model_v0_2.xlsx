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0f3692a91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14480849d14edf"/>
    <x:sheet xmlns:r="http://schemas.openxmlformats.org/officeDocument/2006/relationships" name="Assumptions" sheetId="2" r:id="Ree50a48a998d4901"/>
    <x:sheet xmlns:r="http://schemas.openxmlformats.org/officeDocument/2006/relationships" name="Segment Build" sheetId="3" r:id="Re25fcf60d90b4e93"/>
    <x:sheet xmlns:r="http://schemas.openxmlformats.org/officeDocument/2006/relationships" name="FCFF Build" sheetId="4" r:id="R76b40745e30743ab"/>
    <x:sheet xmlns:r="http://schemas.openxmlformats.org/officeDocument/2006/relationships" name="Annual Actuals" sheetId="5" r:id="R4318cd63f6e340e7"/>
    <x:sheet xmlns:r="http://schemas.openxmlformats.org/officeDocument/2006/relationships" name="9M25 Operating" sheetId="6" r:id="R6a545e780eb94561"/>
    <x:sheet xmlns:r="http://schemas.openxmlformats.org/officeDocument/2006/relationships" name="EPS Versions" sheetId="7" r:id="R5d059857c627441f"/>
    <x:sheet xmlns:r="http://schemas.openxmlformats.org/officeDocument/2006/relationships" name="Share Bridge" sheetId="8" r:id="R4ee01e81c4f94033"/>
    <x:sheet xmlns:r="http://schemas.openxmlformats.org/officeDocument/2006/relationships" name="Checks" sheetId="9" r:id="R7695581e187346b0"/>
    <x:sheet xmlns:r="http://schemas.openxmlformats.org/officeDocument/2006/relationships" name="Sources" sheetId="10" r:id="R6b554317abe040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.0;(#,##0.0);-"/>
    <x:numFmt numFmtId="202" formatCode="0.00;[Red](0.00);0.00"/>
    <x:numFmt numFmtId="203" formatCode="yyyy-mm-dd"/>
    <x:numFmt numFmtId="204" formatCode="#,##0"/>
    <x:numFmt numFmtId="205" formatCode="0;[Red](0);-"/>
    <x:numFmt numFmtId="206" formatCode="0.00;(0.00);0.00"/>
  </x:numFmts>
  <x:fonts count="14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0000FF"/>
      <x:name val="Arial"/>
    </x:font>
    <x:font>
      <x:b/>
      <x:sz val="10"/>
      <x:color rgb="FF00800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b/>
      <x:sz val="9"/>
      <x:color rgb="FF4B5563"/>
      <x:name val="Arial"/>
    </x:font>
    <x:font>
      <x:i/>
      <x:sz val="9"/>
      <x:color rgb="FF666666"/>
      <x:name val="Arial"/>
    </x:font>
    <x:font>
      <x:sz val="10"/>
      <x:color rgb="FF008000"/>
      <x:name val="Arial"/>
    </x:font>
    <x:font>
      <x:i/>
      <x:sz val="10"/>
      <x:color rgb="FF1F2937"/>
      <x:name val="Arial"/>
    </x:font>
    <x:font>
      <x:sz val="9"/>
      <x:color rgb="FFC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0">
    <x:border/>
    <x:border>
      <x:bottom style="thin">
        <x:color rgb="FF9EADBA"/>
      </x:bottom>
    </x:border>
    <x:border>
      <x:left style="dashed">
        <x:color rgb="FF17365D"/>
      </x:left>
      <x:right style="dashed">
        <x:color rgb="FF17365D"/>
      </x:right>
      <x:top style="dashed">
        <x:color rgb="FF17365D"/>
      </x:top>
      <x:bottom style="dashed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double">
        <x:color rgb="FF17365D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8" fillId="0" borderId="6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vertical="center"/>
    </x:xf>
    <x:xf numFmtId="0" fontId="7" fillId="4" borderId="9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3e34602f94302" /><Relationship Type="http://schemas.openxmlformats.org/officeDocument/2006/relationships/theme" Target="/xl/theme/theme1.xml" Id="Rfc39a662119c4890" /><Relationship Type="http://schemas.openxmlformats.org/officeDocument/2006/relationships/sharedStrings" Target="/xl/sharedStrings.xml" Id="R443630226d2849a5" /><Relationship Type="http://schemas.openxmlformats.org/officeDocument/2006/relationships/worksheet" Target="/xl/worksheets/sheet1.xml" Id="R0914480849d14edf" /><Relationship Type="http://schemas.openxmlformats.org/officeDocument/2006/relationships/worksheet" Target="/xl/worksheets/sheet2.xml" Id="Ree50a48a998d4901" /><Relationship Type="http://schemas.openxmlformats.org/officeDocument/2006/relationships/worksheet" Target="/xl/worksheets/sheet3.xml" Id="Re25fcf60d90b4e93" /><Relationship Type="http://schemas.openxmlformats.org/officeDocument/2006/relationships/worksheet" Target="/xl/worksheets/sheet4.xml" Id="R76b40745e30743ab" /><Relationship Type="http://schemas.openxmlformats.org/officeDocument/2006/relationships/worksheet" Target="/xl/worksheets/sheet5.xml" Id="R4318cd63f6e340e7" /><Relationship Type="http://schemas.openxmlformats.org/officeDocument/2006/relationships/worksheet" Target="/xl/worksheets/sheet6.xml" Id="R6a545e780eb94561" /><Relationship Type="http://schemas.openxmlformats.org/officeDocument/2006/relationships/worksheet" Target="/xl/worksheets/sheet7.xml" Id="R5d059857c627441f" /><Relationship Type="http://schemas.openxmlformats.org/officeDocument/2006/relationships/worksheet" Target="/xl/worksheets/sheet8.xml" Id="R4ee01e81c4f94033" /><Relationship Type="http://schemas.openxmlformats.org/officeDocument/2006/relationships/worksheet" Target="/xl/worksheets/sheet9.xml" Id="R7695581e187346b0" /><Relationship Type="http://schemas.openxmlformats.org/officeDocument/2006/relationships/worksheet" Target="/xl/worksheets/sheet10.xml" Id="R6b554317abe040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41358666ec4a47" /><Relationship Type="http://schemas.openxmlformats.org/officeDocument/2006/relationships/chart" Target="/xl/drawings/charts/chart2.xml" Id="Redf90c2aeb084c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EBIT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'Summary'!$Q$6:$Q$16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</c:v>
          </c:tx>
          <c:spPr>
            <a:ln xmlns:a="http://schemas.openxmlformats.org/drawingml/2006/main" w="19050">
              <a:solidFill>
                <a:srgbClr val="F28E2B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'Summary'!$R$6:$R$16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Free cash flow to firm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FCFF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'Summary'!$P$21:$P$31</c:f>
              <c:strCache>
                <c:ptCount val="0"/>
              </c:strCache>
            </c:strRef>
          </c:cat>
          <c:val>
            <c:numRef>
              <c:f>'Summary'!$Q$21:$Q$31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41358666ec4a47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f90c2aeb084c6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c7872265384a3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2" ht="18" hidden="0" customHeight="1">
      <x:c r="C2" s="3" t="str">
        <x:v>FPT forecast review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15" hidden="0" customHeight="1">
      <x:c r="C3" s="4" t="str">
        <x:v>Audited actuals through FY2024 and a selected-case operating forecast through FY2030E. Valuation is not yet included.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  <x:c r="U4" s="2"/>
      <x:c r="V4" s="2"/>
      <x:c r="W4" s="2"/>
    </x:row>
    <x:row r="5" ht="15" hidden="0" customHeight="1">
      <x:c r="C5" s="21" t="str">
        <x:v>Metric</x:v>
      </x:c>
      <x:c r="D5" s="22" t="str">
        <x:v>2020A</x:v>
      </x:c>
      <x:c r="E5" s="22" t="str">
        <x:v>2021A</x:v>
      </x:c>
      <x:c r="F5" s="22" t="str">
        <x:v>2022A</x:v>
      </x:c>
      <x:c r="G5" s="22" t="str">
        <x:v>2023A</x:v>
      </x:c>
      <x:c r="H5" s="22" t="str">
        <x:v>2024A</x:v>
      </x:c>
      <x:c r="I5" s="51" t="str">
        <x:v>2025E</x:v>
      </x:c>
      <x:c r="J5" s="51" t="str">
        <x:v>2026E</x:v>
      </x:c>
      <x:c r="K5" s="51" t="str">
        <x:v>2027E</x:v>
      </x:c>
      <x:c r="L5" s="51" t="str">
        <x:v>2028E</x:v>
      </x:c>
      <x:c r="M5" s="51" t="str">
        <x:v>2029E</x:v>
      </x:c>
      <x:c r="N5" s="52" t="str">
        <x:v>2030E</x:v>
      </x:c>
      <x:c r="O5" s="2"/>
      <x:c r="P5" s="2" t="str">
        <x:v>Year</x:v>
      </x:c>
      <x:c r="Q5" s="2" t="str">
        <x:v>Revenue</x:v>
      </x:c>
      <x:c r="R5" s="2" t="str">
        <x:v>EBIT</x:v>
      </x:c>
      <x:c r="S5" s="2"/>
      <x:c r="T5" s="2"/>
      <x:c r="U5" s="2"/>
      <x:c r="V5" s="2"/>
      <x:c r="W5" s="2"/>
    </x:row>
    <x:row r="6" ht="15" hidden="0" customHeight="1">
      <x:c r="C6" s="2" t="str">
        <x:v>Revenue</x:v>
      </x:c>
      <x:c r="D6" s="38" t="n">
        <x:f>'FCFF Build'!E6</x:f>
        <x:v>29830.400999999998</x:v>
      </x:c>
      <x:c r="E6" s="38" t="n">
        <x:f>'FCFF Build'!F6</x:f>
        <x:v>35657.26299999999</x:v>
      </x:c>
      <x:c r="F6" s="38" t="n">
        <x:f>'FCFF Build'!G6</x:f>
        <x:v>44009.528</x:v>
      </x:c>
      <x:c r="G6" s="38" t="n">
        <x:f>'FCFF Build'!H6</x:f>
        <x:v>52617.901000000005</x:v>
      </x:c>
      <x:c r="H6" s="38" t="n">
        <x:f>'FCFF Build'!I6</x:f>
        <x:v>62848.793999999994</x:v>
      </x:c>
      <x:c r="I6" s="38" t="n">
        <x:f>'FCFF Build'!J6</x:f>
        <x:v>69665.545229</x:v>
      </x:c>
      <x:c r="J6" s="38" t="n">
        <x:f>'FCFF Build'!K6</x:f>
        <x:v>78236.94259063198</x:v>
      </x:c>
      <x:c r="K6" s="38" t="n">
        <x:f>'FCFF Build'!L6</x:f>
        <x:v>87785.88987541632</x:v>
      </x:c>
      <x:c r="L6" s="38" t="n">
        <x:f>'FCFF Build'!M6</x:f>
        <x:v>98110.1208463709</x:v>
      </x:c>
      <x:c r="M6" s="38" t="n">
        <x:f>'FCFF Build'!N6</x:f>
        <x:v>108803.45980107687</x:v>
      </x:c>
      <x:c r="N6" s="38" t="n">
        <x:f>'FCFF Build'!O6</x:f>
        <x:v>120125.54681043208</x:v>
      </x:c>
      <x:c r="O6" s="2"/>
      <x:c r="P6" s="2" t="n">
        <x:v>2020</x:v>
      </x:c>
      <x:c r="Q6" s="2" t="n">
        <x:f>D6</x:f>
        <x:v>29830.400999999998</x:v>
      </x:c>
      <x:c r="R6" s="2" t="n">
        <x:f>D8</x:f>
        <x:v>4604.729678588</x:v>
      </x:c>
      <x:c r="S6" s="2"/>
      <x:c r="T6" s="2"/>
      <x:c r="U6" s="2"/>
      <x:c r="V6" s="2"/>
      <x:c r="W6" s="2"/>
    </x:row>
    <x:row r="7" ht="15" hidden="0" customHeight="1">
      <x:c r="C7" s="49" t="str">
        <x:v>  Revenue growth</x:v>
      </x:c>
      <x:c r="D7" s="50"/>
      <x:c r="E7" s="50" t="n">
        <x:f>'FCFF Build'!F7</x:f>
        <x:v>0.1953330094355752</x:v>
      </x:c>
      <x:c r="F7" s="50" t="n">
        <x:f>'FCFF Build'!G7</x:f>
        <x:v>0.23423741188436153</x:v>
      </x:c>
      <x:c r="G7" s="50" t="n">
        <x:f>'FCFF Build'!H7</x:f>
        <x:v>0.1956024840802657</x:v>
      </x:c>
      <x:c r="H7" s="50" t="n">
        <x:f>'FCFF Build'!I7</x:f>
        <x:v>0.19443749761131657</x:v>
      </x:c>
      <x:c r="I7" s="50" t="n">
        <x:f>'FCFF Build'!J7</x:f>
        <x:v>0.10846272132127144</x:v>
      </x:c>
      <x:c r="J7" s="50" t="n">
        <x:f>'FCFF Build'!K7</x:f>
        <x:v>0.12303639242981101</x:v>
      </x:c>
      <x:c r="K7" s="50" t="n">
        <x:f>'FCFF Build'!L7</x:f>
        <x:v>0.12205164170011584</x:v>
      </x:c>
      <x:c r="L7" s="50" t="n">
        <x:f>'FCFF Build'!M7</x:f>
        <x:v>0.11760695238843599</x:v>
      </x:c>
      <x:c r="M7" s="50" t="n">
        <x:f>'FCFF Build'!N7</x:f>
        <x:v>0.10899322987737925</x:v>
      </x:c>
      <x:c r="N7" s="50" t="n">
        <x:f>'FCFF Build'!O7</x:f>
        <x:v>0.1040599906478632</x:v>
      </x:c>
      <x:c r="O7" s="2"/>
      <x:c r="P7" s="2" t="n">
        <x:v>2021</x:v>
      </x:c>
      <x:c r="Q7" s="2" t="n">
        <x:f>E6</x:f>
        <x:v>35657.26299999999</x:v>
      </x:c>
      <x:c r="R7" s="2" t="n">
        <x:f>E8</x:f>
        <x:v>5415.027516223</x:v>
      </x:c>
      <x:c r="S7" s="2"/>
      <x:c r="T7" s="2"/>
      <x:c r="U7" s="2"/>
      <x:c r="V7" s="2"/>
      <x:c r="W7" s="2"/>
    </x:row>
    <x:row r="8" ht="15" hidden="0" customHeight="1">
      <x:c r="C8" s="2" t="str">
        <x:v>EBIT before financial items</x:v>
      </x:c>
      <x:c r="D8" s="38" t="n">
        <x:f>'FCFF Build'!E9</x:f>
        <x:v>4604.729678588</x:v>
      </x:c>
      <x:c r="E8" s="38" t="n">
        <x:f>'FCFF Build'!F9</x:f>
        <x:v>5415.027516223</x:v>
      </x:c>
      <x:c r="F8" s="38" t="n">
        <x:f>'FCFF Build'!G9</x:f>
        <x:v>6794.557295869</x:v>
      </x:c>
      <x:c r="G8" s="38" t="n">
        <x:f>'FCFF Build'!H9</x:f>
        <x:v>8451.627899363</x:v>
      </x:c>
      <x:c r="H8" s="38" t="n">
        <x:f>'FCFF Build'!I9</x:f>
        <x:v>10508.347783359</x:v>
      </x:c>
      <x:c r="I8" s="38" t="n">
        <x:f>'FCFF Build'!J9</x:f>
        <x:v>11703.811598472</x:v>
      </x:c>
      <x:c r="J8" s="38" t="n">
        <x:f>'FCFF Build'!K9</x:f>
        <x:v>13300.280240407437</x:v>
      </x:c>
      <x:c r="K8" s="38" t="n">
        <x:f>'FCFF Build'!L9</x:f>
        <x:v>15099.173058571607</x:v>
      </x:c>
      <x:c r="L8" s="38" t="n">
        <x:f>'FCFF Build'!M9</x:f>
        <x:v>16973.050906422166</x:v>
      </x:c>
      <x:c r="M8" s="38" t="n">
        <x:f>'FCFF Build'!N9</x:f>
        <x:v>18931.802005387373</x:v>
      </x:c>
      <x:c r="N8" s="38" t="n">
        <x:f>'FCFF Build'!O9</x:f>
        <x:v>21021.970691825612</x:v>
      </x:c>
      <x:c r="O8" s="2"/>
      <x:c r="P8" s="2" t="n">
        <x:v>2022</x:v>
      </x:c>
      <x:c r="Q8" s="2" t="n">
        <x:f>F6</x:f>
        <x:v>44009.528</x:v>
      </x:c>
      <x:c r="R8" s="2" t="n">
        <x:f>F8</x:f>
        <x:v>6794.557295869</x:v>
      </x:c>
      <x:c r="S8" s="2"/>
      <x:c r="T8" s="2"/>
      <x:c r="U8" s="2"/>
      <x:c r="V8" s="2"/>
      <x:c r="W8" s="2"/>
    </x:row>
    <x:row r="9" ht="15" hidden="0" customHeight="1">
      <x:c r="C9" s="49" t="str">
        <x:v>  EBIT margin</x:v>
      </x:c>
      <x:c r="D9" s="50" t="n">
        <x:f>'FCFF Build'!E10</x:f>
        <x:v>0.15436365332762372</x:v>
      </x:c>
      <x:c r="E9" s="50" t="n">
        <x:f>'FCFF Build'!F10</x:f>
        <x:v>0.15186324077153654</x:v>
      </x:c>
      <x:c r="F9" s="50" t="n">
        <x:f>'FCFF Build'!G10</x:f>
        <x:v>0.154388324634361</x:v>
      </x:c>
      <x:c r="G9" s="50" t="n">
        <x:f>'FCFF Build'!H10</x:f>
        <x:v>0.1606226728687448</x:v>
      </x:c>
      <x:c r="H9" s="50" t="n">
        <x:f>'FCFF Build'!I10</x:f>
        <x:v>0.1672004682119915</x:v>
      </x:c>
      <x:c r="I9" s="50" t="n">
        <x:f>'FCFF Build'!J10</x:f>
        <x:v>0.168</x:v>
      </x:c>
      <x:c r="J9" s="50" t="n">
        <x:f>'FCFF Build'!K10</x:f>
        <x:v>0.17</x:v>
      </x:c>
      <x:c r="K9" s="50" t="n">
        <x:f>'FCFF Build'!L10</x:f>
        <x:v>0.172</x:v>
      </x:c>
      <x:c r="L9" s="50" t="n">
        <x:f>'FCFF Build'!M10</x:f>
        <x:v>0.173</x:v>
      </x:c>
      <x:c r="M9" s="50" t="n">
        <x:f>'FCFF Build'!N10</x:f>
        <x:v>0.174</x:v>
      </x:c>
      <x:c r="N9" s="50" t="n">
        <x:f>'FCFF Build'!O10</x:f>
        <x:v>0.175</x:v>
      </x:c>
      <x:c r="O9" s="2"/>
      <x:c r="P9" s="2" t="n">
        <x:v>2023</x:v>
      </x:c>
      <x:c r="Q9" s="2" t="n">
        <x:f>G6</x:f>
        <x:v>52617.901000000005</x:v>
      </x:c>
      <x:c r="R9" s="2" t="n">
        <x:f>G8</x:f>
        <x:v>8451.627899363</x:v>
      </x:c>
      <x:c r="S9" s="2"/>
      <x:c r="T9" s="2"/>
      <x:c r="U9" s="2"/>
      <x:c r="V9" s="2"/>
      <x:c r="W9" s="2"/>
    </x:row>
    <x:row r="10" ht="15" hidden="0" customHeight="1">
      <x:c r="C10" s="40" t="str">
        <x:v>FCFF</x:v>
      </x:c>
      <x:c r="D10" s="41" t="n">
        <x:f>'FCFF Build'!E28</x:f>
        <x:v>3711.5663477649505</x:v>
      </x:c>
      <x:c r="E10" s="41" t="n">
        <x:f>'FCFF Build'!F28</x:f>
        <x:v>3926.6066845198616</x:v>
      </x:c>
      <x:c r="F10" s="41" t="n">
        <x:f>'FCFF Build'!G28</x:f>
        <x:v>2593.1029163330277</x:v>
      </x:c>
      <x:c r="G10" s="41" t="n">
        <x:f>'FCFF Build'!H28</x:f>
        <x:v>6138.912608288812</x:v>
      </x:c>
      <x:c r="H10" s="41" t="n">
        <x:f>'FCFF Build'!I28</x:f>
        <x:v>8512.04077889851</x:v>
      </x:c>
      <x:c r="I10" s="41" t="n">
        <x:f>'FCFF Build'!J28</x:f>
        <x:v>8429.740416777842</x:v>
      </x:c>
      <x:c r="J10" s="41" t="n">
        <x:f>'FCFF Build'!K28</x:f>
        <x:v>9659.043889280269</x:v>
      </x:c>
      <x:c r="K10" s="41" t="n">
        <x:f>'FCFF Build'!L28</x:f>
        <x:v>11251.033940666077</x:v>
      </x:c>
      <x:c r="L10" s="41" t="n">
        <x:f>'FCFF Build'!M28</x:f>
        <x:v>12860.311825504818</x:v>
      </x:c>
      <x:c r="M10" s="41" t="n">
        <x:f>'FCFF Build'!N28</x:f>
        <x:v>14586.667857646362</x:v>
      </x:c>
      <x:c r="N10" s="41" t="n">
        <x:f>'FCFF Build'!O28</x:f>
        <x:v>16095.616932680354</x:v>
      </x:c>
      <x:c r="O10" s="2"/>
      <x:c r="P10" s="2" t="n">
        <x:v>2024</x:v>
      </x:c>
      <x:c r="Q10" s="2" t="n">
        <x:f>H6</x:f>
        <x:v>62848.793999999994</x:v>
      </x:c>
      <x:c r="R10" s="2" t="n">
        <x:f>H8</x:f>
        <x:v>10508.347783359</x:v>
      </x:c>
      <x:c r="S10" s="2"/>
      <x:c r="T10" s="2"/>
      <x:c r="U10" s="2"/>
      <x:c r="V10" s="2"/>
      <x:c r="W10" s="2"/>
    </x:row>
    <x:row r="11" ht="15" hidden="0" customHeight="1">
      <x:c r="C11" s="49" t="str">
        <x:v>  FCFF margin</x:v>
      </x:c>
      <x:c r="D11" s="50" t="n">
        <x:f>'FCFF Build'!E29</x:f>
        <x:v>0.12442227470441818</x:v>
      </x:c>
      <x:c r="E11" s="50" t="n">
        <x:f>'FCFF Build'!F29</x:f>
        <x:v>0.11012081001617714</x:v>
      </x:c>
      <x:c r="F11" s="50" t="n">
        <x:f>'FCFF Build'!G29</x:f>
        <x:v>0.058921398028468464</x:v>
      </x:c>
      <x:c r="G11" s="50" t="n">
        <x:f>'FCFF Build'!H29</x:f>
        <x:v>0.11666965978534209</x:v>
      </x:c>
      <x:c r="H11" s="50" t="n">
        <x:f>'FCFF Build'!I29</x:f>
        <x:v>0.13543681966114593</x:v>
      </x:c>
      <x:c r="I11" s="50" t="n">
        <x:f>'FCFF Build'!J29</x:f>
        <x:v>0.12100300642258888</x:v>
      </x:c>
      <x:c r="J11" s="50" t="n">
        <x:f>'FCFF Build'!K29</x:f>
        <x:v>0.12345886188089401</x:v>
      </x:c>
      <x:c r="K11" s="50" t="n">
        <x:f>'FCFF Build'!L29</x:f>
        <x:v>0.12816449154452134</x:v>
      </x:c>
      <x:c r="L11" s="50" t="n">
        <x:f>'FCFF Build'!M29</x:f>
        <x:v>0.1310803790125035</x:v>
      </x:c>
      <x:c r="M11" s="50" t="n">
        <x:f>'FCFF Build'!N29</x:f>
        <x:v>0.13406437519831507</x:v>
      </x:c>
      <x:c r="N11" s="50" t="n">
        <x:f>'FCFF Build'!O29</x:f>
        <x:v>0.1339899576738706</x:v>
      </x:c>
      <x:c r="O11" s="2"/>
      <x:c r="P11" s="2" t="n">
        <x:v>2025</x:v>
      </x:c>
      <x:c r="Q11" s="2" t="n">
        <x:f>I6</x:f>
        <x:v>69665.545229</x:v>
      </x:c>
      <x:c r="R11" s="2" t="n">
        <x:f>I8</x:f>
        <x:v>11703.811598472</x:v>
      </x:c>
      <x:c r="S11" s="2"/>
      <x:c r="T11" s="2"/>
      <x:c r="U11" s="2"/>
      <x:c r="V11" s="2"/>
      <x:c r="W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 t="n">
        <x:v>2026</x:v>
      </x:c>
      <x:c r="Q12" s="2" t="n">
        <x:f>J6</x:f>
        <x:v>78236.94259063198</x:v>
      </x:c>
      <x:c r="R12" s="2" t="n">
        <x:f>J8</x:f>
        <x:v>13300.280240407437</x:v>
      </x:c>
      <x:c r="S12" s="2"/>
      <x:c r="T12" s="2"/>
      <x:c r="U12" s="2"/>
      <x:c r="V12" s="2"/>
      <x:c r="W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 t="n">
        <x:v>2027</x:v>
      </x:c>
      <x:c r="Q13" s="2" t="n">
        <x:f>K6</x:f>
        <x:v>87785.88987541632</x:v>
      </x:c>
      <x:c r="R13" s="2" t="n">
        <x:f>K8</x:f>
        <x:v>15099.173058571607</x:v>
      </x:c>
      <x:c r="S13" s="2"/>
      <x:c r="T13" s="2"/>
      <x:c r="U13" s="2"/>
      <x:c r="V13" s="2"/>
      <x:c r="W13" s="2"/>
    </x:row>
    <x:row r="14" ht="15" hidden="0" customHeight="1">
      <x:c r="C14" s="2" t="str">
        <x:v>Selected case</x:v>
      </x:c>
      <x:c r="D14" s="11" t="str">
        <x:f>'Assumptions'!D6</x:f>
        <x:v>Base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 t="n">
        <x:v>2028</x:v>
      </x:c>
      <x:c r="Q14" s="2" t="n">
        <x:f>L6</x:f>
        <x:v>98110.1208463709</x:v>
      </x:c>
      <x:c r="R14" s="2" t="n">
        <x:f>L8</x:f>
        <x:v>16973.050906422166</x:v>
      </x:c>
      <x:c r="S14" s="2"/>
      <x:c r="T14" s="2"/>
      <x:c r="U14" s="2"/>
      <x:c r="V14" s="2"/>
      <x:c r="W14" s="2"/>
    </x:row>
    <x:row r="15" ht="15" hidden="0" customHeight="1">
      <x:c r="C15" s="2" t="str">
        <x:v>Forecast origin</x:v>
      </x:c>
      <x:c r="D15" s="2" t="str">
        <x:v>9M2025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 t="n">
        <x:v>2029</x:v>
      </x:c>
      <x:c r="Q15" s="2" t="n">
        <x:f>M6</x:f>
        <x:v>108803.45980107687</x:v>
      </x:c>
      <x:c r="R15" s="2" t="n">
        <x:f>M8</x:f>
        <x:v>18931.802005387373</x:v>
      </x:c>
      <x:c r="S15" s="2"/>
      <x:c r="T15" s="2"/>
      <x:c r="U15" s="2"/>
      <x:c r="V15" s="2"/>
      <x:c r="W15" s="2"/>
    </x:row>
    <x:row r="16" ht="15" hidden="0" customHeight="1">
      <x:c r="C16" s="2" t="str">
        <x:v>Clock A cutoff</x:v>
      </x:c>
      <x:c r="D16" s="2" t="str">
        <x:v>31-Oct-2025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 t="n">
        <x:v>2030</x:v>
      </x:c>
      <x:c r="Q16" s="2" t="n">
        <x:f>N6</x:f>
        <x:v>120125.54681043208</x:v>
      </x:c>
      <x:c r="R16" s="2" t="n">
        <x:f>N8</x:f>
        <x:v>21021.970691825612</x:v>
      </x:c>
      <x:c r="S16" s="2"/>
      <x:c r="T16" s="2"/>
      <x:c r="U16" s="2"/>
      <x:c r="V16" s="2"/>
      <x:c r="W16" s="2"/>
    </x:row>
    <x:row r="17" ht="15" hidden="0" customHeight="1">
      <x:c r="C17" s="2" t="str">
        <x:v>Current gate</x:v>
      </x:c>
      <x:c r="D17" s="2" t="str">
        <x:v>Forecast model before valuation inputs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 t="str">
        <x:v>Year</x:v>
      </x:c>
      <x:c r="Q20" s="2" t="str">
        <x:v>FCFF</x:v>
      </x:c>
      <x:c r="R20" s="2"/>
      <x:c r="S20" s="2"/>
      <x:c r="T20" s="2"/>
      <x:c r="U20" s="2"/>
      <x:c r="V20" s="2"/>
      <x:c r="W20" s="2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 t="n">
        <x:v>2020</x:v>
      </x:c>
      <x:c r="Q21" s="2" t="n">
        <x:f>D10</x:f>
        <x:v>3711.5663477649505</x:v>
      </x:c>
      <x:c r="R21" s="2"/>
      <x:c r="S21" s="2"/>
      <x:c r="T21" s="2"/>
      <x:c r="U21" s="2"/>
      <x:c r="V21" s="2"/>
      <x:c r="W21" s="2"/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 t="n">
        <x:v>2021</x:v>
      </x:c>
      <x:c r="Q22" s="2" t="n">
        <x:f>E10</x:f>
        <x:v>3926.6066845198616</x:v>
      </x:c>
      <x:c r="R22" s="2"/>
      <x:c r="S22" s="2"/>
      <x:c r="T22" s="2"/>
      <x:c r="U22" s="2"/>
      <x:c r="V22" s="2"/>
      <x:c r="W22" s="2"/>
    </x:row>
    <x:row r="23" ht="15" hidden="0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 t="n">
        <x:v>2022</x:v>
      </x:c>
      <x:c r="Q23" s="2" t="n">
        <x:f>F10</x:f>
        <x:v>2593.1029163330277</x:v>
      </x:c>
      <x:c r="R23" s="2"/>
      <x:c r="S23" s="2"/>
      <x:c r="T23" s="2"/>
      <x:c r="U23" s="2"/>
      <x:c r="V23" s="2"/>
      <x:c r="W23" s="2"/>
    </x:row>
    <x:row r="24" ht="15" hidden="0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 t="n">
        <x:v>2023</x:v>
      </x:c>
      <x:c r="Q24" s="2" t="n">
        <x:f>G10</x:f>
        <x:v>6138.912608288812</x:v>
      </x:c>
      <x:c r="R24" s="2"/>
      <x:c r="S24" s="2"/>
      <x:c r="T24" s="2"/>
      <x:c r="U24" s="2"/>
      <x:c r="V24" s="2"/>
      <x:c r="W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 t="n">
        <x:v>2024</x:v>
      </x:c>
      <x:c r="Q25" s="2" t="n">
        <x:f>H10</x:f>
        <x:v>8512.04077889851</x:v>
      </x:c>
      <x:c r="R25" s="2"/>
      <x:c r="S25" s="2"/>
      <x:c r="T25" s="2"/>
      <x:c r="U25" s="2"/>
      <x:c r="V25" s="2"/>
      <x:c r="W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 t="n">
        <x:v>2025</x:v>
      </x:c>
      <x:c r="Q26" s="2" t="n">
        <x:f>I10</x:f>
        <x:v>8429.740416777842</x:v>
      </x:c>
      <x:c r="R26" s="2"/>
      <x:c r="S26" s="2"/>
      <x:c r="T26" s="2"/>
      <x:c r="U26" s="2"/>
      <x:c r="V26" s="2"/>
      <x:c r="W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 t="n">
        <x:v>2026</x:v>
      </x:c>
      <x:c r="Q27" s="2" t="n">
        <x:f>J10</x:f>
        <x:v>9659.043889280269</x:v>
      </x:c>
      <x:c r="R27" s="2"/>
      <x:c r="S27" s="2"/>
      <x:c r="T27" s="2"/>
      <x:c r="U27" s="2"/>
      <x:c r="V27" s="2"/>
      <x:c r="W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 t="n">
        <x:v>2027</x:v>
      </x:c>
      <x:c r="Q28" s="2" t="n">
        <x:f>K10</x:f>
        <x:v>11251.033940666077</x:v>
      </x:c>
      <x:c r="R28" s="2"/>
      <x:c r="S28" s="2"/>
      <x:c r="T28" s="2"/>
      <x:c r="U28" s="2"/>
      <x:c r="V28" s="2"/>
      <x:c r="W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 t="n">
        <x:v>2028</x:v>
      </x:c>
      <x:c r="Q29" s="2" t="n">
        <x:f>L10</x:f>
        <x:v>12860.311825504818</x:v>
      </x:c>
      <x:c r="R29" s="2"/>
      <x:c r="S29" s="2"/>
      <x:c r="T29" s="2"/>
      <x:c r="U29" s="2"/>
      <x:c r="V29" s="2"/>
      <x:c r="W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 t="n">
        <x:v>2029</x:v>
      </x:c>
      <x:c r="Q30" s="2" t="n">
        <x:f>M10</x:f>
        <x:v>14586.667857646362</x:v>
      </x:c>
      <x:c r="R30" s="2"/>
      <x:c r="S30" s="2"/>
      <x:c r="T30" s="2"/>
      <x:c r="U30" s="2"/>
      <x:c r="V30" s="2"/>
      <x:c r="W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 t="n">
        <x:v>2030</x:v>
      </x:c>
      <x:c r="Q31" s="2" t="n">
        <x:f>N10</x:f>
        <x:v>16095.616932680354</x:v>
      </x:c>
      <x:c r="R31" s="2"/>
      <x:c r="S31" s="2"/>
      <x:c r="T31" s="2"/>
      <x:c r="U31" s="2"/>
      <x:c r="V31" s="2"/>
      <x:c r="W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  <x:drawing xmlns:r="http://schemas.openxmlformats.org/officeDocument/2006/relationships" r:id="R79c7872265384a32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66" hidden="0" customWidth="1"/>
  </x:cols>
  <x:sheetData>
    <x:row r="2" ht="18" hidden="0" customHeight="1">
      <x:c r="C2" s="3" t="str">
        <x:v>Forecast assumptions</x:v>
      </x:c>
      <x:c r="D2" s="2"/>
      <x:c r="E2" s="2"/>
      <x:c r="F2" s="2"/>
      <x:c r="G2" s="2"/>
      <x:c r="H2" s="2"/>
      <x:c r="I2" s="2"/>
      <x:c r="J2" s="2"/>
      <x:c r="K2" s="2"/>
    </x:row>
    <x:row r="3" ht="15" hidden="0" customHeight="1">
      <x:c r="C3" s="4" t="str">
        <x:v>One selector drives the active FY2025E-FY2030E forecast. Blue values are editable inputs.</x:v>
      </x:c>
      <x:c r="D3" s="2"/>
      <x:c r="E3" s="2"/>
      <x:c r="F3" s="2"/>
      <x:c r="G3" s="2"/>
      <x:c r="H3" s="2"/>
      <x:c r="I3" s="2"/>
      <x:c r="J3" s="2"/>
      <x:c r="K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6"/>
      <x:c r="M4" s="6"/>
      <x:c r="N4" s="6"/>
      <x:c r="O4" s="6"/>
      <x:c r="P4" s="6"/>
      <x:c r="Q4" s="6"/>
    </x:row>
    <x:row r="5" ht="15" hidden="0" customHeight="1">
      <x:c r="C5" s="2" t="str">
        <x:v>Case selector</x:v>
      </x:c>
      <x:c r="D5" s="10" t="n">
        <x:v>1</x:v>
      </x:c>
      <x:c r="E5" s="2"/>
      <x:c r="F5" s="2"/>
      <x:c r="G5" s="2"/>
      <x:c r="H5" s="2"/>
      <x:c r="I5" s="2"/>
      <x:c r="J5" s="2"/>
      <x:c r="K5" s="2"/>
    </x:row>
    <x:row r="6" ht="15" hidden="0" customHeight="1">
      <x:c r="C6" s="2" t="str">
        <x:v>Selected case</x:v>
      </x:c>
      <x:c r="D6" s="12" t="str">
        <x:f>CHOOSE($D$5,"Base","Downside")</x:f>
        <x:v>Base</x:v>
      </x:c>
      <x:c r="E6" s="2"/>
      <x:c r="F6" s="2"/>
      <x:c r="G6" s="2"/>
      <x:c r="H6" s="2"/>
      <x:c r="I6" s="2"/>
      <x:c r="J6" s="2"/>
      <x:c r="K6" s="2"/>
    </x:row>
    <x:row r="7" ht="15" hidden="0" customHeight="1">
      <x:c r="C7" s="2"/>
      <x:c r="D7" s="2"/>
      <x:c r="E7" s="2"/>
      <x:c r="F7" s="2"/>
      <x:c r="G7" s="2"/>
      <x:c r="H7" s="2"/>
      <x:c r="I7" s="2"/>
      <x:c r="J7" s="2"/>
      <x:c r="K7" s="2"/>
    </x:row>
    <x:row r="8" ht="15" hidden="0" customHeight="1">
      <x:c r="C8" s="21" t="str">
        <x:v>Driver / case</x:v>
      </x:c>
      <x:c r="D8" s="22" t="str">
        <x:v>Unit</x:v>
      </x:c>
      <x:c r="E8" s="22" t="n">
        <x:v>2025</x:v>
      </x:c>
      <x:c r="F8" s="22" t="n">
        <x:v>2026</x:v>
      </x:c>
      <x:c r="G8" s="22" t="n">
        <x:v>2027</x:v>
      </x:c>
      <x:c r="H8" s="22" t="n">
        <x:v>2028</x:v>
      </x:c>
      <x:c r="I8" s="22" t="n">
        <x:v>2029</x:v>
      </x:c>
      <x:c r="J8" s="22" t="n">
        <x:v>2030</x:v>
      </x:c>
      <x:c r="K8" s="23" t="str">
        <x:v>Rationale / evidence</x:v>
      </x:c>
    </x:row>
    <x:row r="9" ht="15" hidden="0" customHeight="1">
      <x:c r="C9" s="2"/>
      <x:c r="D9" s="2"/>
      <x:c r="E9" s="2"/>
      <x:c r="F9" s="2"/>
      <x:c r="G9" s="2"/>
      <x:c r="H9" s="2"/>
      <x:c r="I9" s="2"/>
      <x:c r="J9" s="2"/>
      <x:c r="K9" s="2"/>
    </x:row>
    <x:row r="10" ht="34" hidden="0" customHeight="1">
      <x:c r="C10" s="26" t="str">
        <x:v>Global IT revenue growth</x:v>
      </x:c>
      <x:c r="D10" s="26" t="str">
        <x:v>%</x:v>
      </x:c>
      <x:c r="E10" s="29" t="n">
        <x:f>CHOOSE($D$5,E11,E12)</x:f>
        <x:v>0.135</x:v>
      </x:c>
      <x:c r="F10" s="29" t="n">
        <x:f>CHOOSE($D$5,F11,F12)</x:f>
        <x:v>0.15</x:v>
      </x:c>
      <x:c r="G10" s="29" t="n">
        <x:f>CHOOSE($D$5,G11,G12)</x:f>
        <x:v>0.15</x:v>
      </x:c>
      <x:c r="H10" s="29" t="n">
        <x:f>CHOOSE($D$5,H11,H12)</x:f>
        <x:v>0.14</x:v>
      </x:c>
      <x:c r="I10" s="29" t="n">
        <x:f>CHOOSE($D$5,I11,I12)</x:f>
        <x:v>0.13</x:v>
      </x:c>
      <x:c r="J10" s="29" t="n">
        <x:f>CHOOSE($D$5,J11,J12)</x:f>
        <x:v>0.12</x:v>
      </x:c>
      <x:c r="K10" s="33" t="str">
        <x:v>9M2025 Global IT revenue +12.8%; signed revenue +14.4%. Japan +26.3% while APAC -7.5% (9M2025 report, pp. 5-7).</x:v>
      </x:c>
    </x:row>
    <x:row r="11" ht="15" hidden="0" customHeight="1">
      <x:c r="C11" s="2" t="str">
        <x:v>  Base</x:v>
      </x:c>
      <x:c r="D11" s="2" t="str">
        <x:v>%</x:v>
      </x:c>
      <x:c r="E11" s="30" t="n">
        <x:v>0.135</x:v>
      </x:c>
      <x:c r="F11" s="30" t="n">
        <x:v>0.15</x:v>
      </x:c>
      <x:c r="G11" s="30" t="n">
        <x:v>0.15</x:v>
      </x:c>
      <x:c r="H11" s="30" t="n">
        <x:v>0.14</x:v>
      </x:c>
      <x:c r="I11" s="30" t="n">
        <x:v>0.13</x:v>
      </x:c>
      <x:c r="J11" s="30" t="n">
        <x:v>0.12</x:v>
      </x:c>
      <x:c r="K11" s="2"/>
    </x:row>
    <x:row r="12" ht="15" hidden="0" customHeight="1">
      <x:c r="C12" s="2" t="str">
        <x:v>  Downside</x:v>
      </x:c>
      <x:c r="D12" s="2" t="str">
        <x:v>%</x:v>
      </x:c>
      <x:c r="E12" s="30" t="n">
        <x:v>0.08</x:v>
      </x:c>
      <x:c r="F12" s="30" t="n">
        <x:v>0.1</x:v>
      </x:c>
      <x:c r="G12" s="30" t="n">
        <x:v>0.1</x:v>
      </x:c>
      <x:c r="H12" s="30" t="n">
        <x:v>0.09</x:v>
      </x:c>
      <x:c r="I12" s="30" t="n">
        <x:v>0.08</x:v>
      </x:c>
      <x:c r="J12" s="30" t="n">
        <x:v>0.07</x:v>
      </x:c>
      <x:c r="K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34" hidden="0" customHeight="1">
      <x:c r="C14" s="26" t="str">
        <x:v>Domestic IT revenue growth</x:v>
      </x:c>
      <x:c r="D14" s="26" t="str">
        <x:v>%</x:v>
      </x:c>
      <x:c r="E14" s="29" t="n">
        <x:f>CHOOSE($D$5,E15,E16)</x:f>
        <x:v>0.03</x:v>
      </x:c>
      <x:c r="F14" s="29" t="n">
        <x:f>CHOOSE($D$5,F15,F16)</x:f>
        <x:v>0.08</x:v>
      </x:c>
      <x:c r="G14" s="29" t="n">
        <x:f>CHOOSE($D$5,G15,G16)</x:f>
        <x:v>0.09</x:v>
      </x:c>
      <x:c r="H14" s="29" t="n">
        <x:f>CHOOSE($D$5,H15,H16)</x:f>
        <x:v>0.09</x:v>
      </x:c>
      <x:c r="I14" s="29" t="n">
        <x:f>CHOOSE($D$5,I15,I16)</x:f>
        <x:v>0.08</x:v>
      </x:c>
      <x:c r="J14" s="29" t="n">
        <x:f>CHOOSE($D$5,J15,J16)</x:f>
        <x:v>0.08</x:v>
      </x:c>
      <x:c r="K14" s="33" t="str">
        <x:v>9M2025 revenue +1.5% and PBT +31.9%; base case keeps near-term revenue cautious (9M2025 report, p. 5).</x:v>
      </x:c>
    </x:row>
    <x:row r="15" ht="15" hidden="0" customHeight="1">
      <x:c r="C15" s="2" t="str">
        <x:v>  Base</x:v>
      </x:c>
      <x:c r="D15" s="2" t="str">
        <x:v>%</x:v>
      </x:c>
      <x:c r="E15" s="30" t="n">
        <x:v>0.03</x:v>
      </x:c>
      <x:c r="F15" s="30" t="n">
        <x:v>0.08</x:v>
      </x:c>
      <x:c r="G15" s="30" t="n">
        <x:v>0.09</x:v>
      </x:c>
      <x:c r="H15" s="30" t="n">
        <x:v>0.09</x:v>
      </x:c>
      <x:c r="I15" s="30" t="n">
        <x:v>0.08</x:v>
      </x:c>
      <x:c r="J15" s="30" t="n">
        <x:v>0.08</x:v>
      </x:c>
      <x:c r="K15" s="2"/>
    </x:row>
    <x:row r="16" ht="15" hidden="0" customHeight="1">
      <x:c r="C16" s="2" t="str">
        <x:v>  Downside</x:v>
      </x:c>
      <x:c r="D16" s="2" t="str">
        <x:v>%</x:v>
      </x:c>
      <x:c r="E16" s="30" t="n">
        <x:v>-0.02</x:v>
      </x:c>
      <x:c r="F16" s="30" t="n">
        <x:v>0.03</x:v>
      </x:c>
      <x:c r="G16" s="30" t="n">
        <x:v>0.05</x:v>
      </x:c>
      <x:c r="H16" s="30" t="n">
        <x:v>0.05</x:v>
      </x:c>
      <x:c r="I16" s="30" t="n">
        <x:v>0.05</x:v>
      </x:c>
      <x:c r="J16" s="30" t="n">
        <x:v>0.05</x:v>
      </x:c>
      <x:c r="K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4" hidden="0" customHeight="1">
      <x:c r="C18" s="26" t="str">
        <x:v>Telecom revenue growth</x:v>
      </x:c>
      <x:c r="D18" s="26" t="str">
        <x:v>%</x:v>
      </x:c>
      <x:c r="E18" s="29" t="n">
        <x:f>CHOOSE($D$5,E19,E20)</x:f>
        <x:v>0.12</x:v>
      </x:c>
      <x:c r="F18" s="29" t="n">
        <x:f>CHOOSE($D$5,F19,F20)</x:f>
        <x:v>0.11</x:v>
      </x:c>
      <x:c r="G18" s="29" t="n">
        <x:f>CHOOSE($D$5,G19,G20)</x:f>
        <x:v>0.1</x:v>
      </x:c>
      <x:c r="H18" s="29" t="n">
        <x:f>CHOOSE($D$5,H19,H20)</x:f>
        <x:v>0.1</x:v>
      </x:c>
      <x:c r="I18" s="29" t="n">
        <x:f>CHOOSE($D$5,I19,I20)</x:f>
        <x:v>0.09</x:v>
      </x:c>
      <x:c r="J18" s="29" t="n">
        <x:f>CHOOSE($D$5,J19,J20)</x:f>
        <x:v>0.09</x:v>
      </x:c>
      <x:c r="K18" s="33" t="str">
        <x:v>9M2025 telecom-services revenue +11.5%; FY2024 audited segment revenue +11.3% (9M2025 report p. 5; FY2024 report p. 195).</x:v>
      </x:c>
    </x:row>
    <x:row r="19" ht="15" hidden="0" customHeight="1">
      <x:c r="C19" s="2" t="str">
        <x:v>  Base</x:v>
      </x:c>
      <x:c r="D19" s="2" t="str">
        <x:v>%</x:v>
      </x:c>
      <x:c r="E19" s="30" t="n">
        <x:v>0.12</x:v>
      </x:c>
      <x:c r="F19" s="30" t="n">
        <x:v>0.11</x:v>
      </x:c>
      <x:c r="G19" s="30" t="n">
        <x:v>0.1</x:v>
      </x:c>
      <x:c r="H19" s="30" t="n">
        <x:v>0.1</x:v>
      </x:c>
      <x:c r="I19" s="30" t="n">
        <x:v>0.09</x:v>
      </x:c>
      <x:c r="J19" s="30" t="n">
        <x:v>0.09</x:v>
      </x:c>
      <x:c r="K19" s="2"/>
    </x:row>
    <x:row r="20" ht="15" hidden="0" customHeight="1">
      <x:c r="C20" s="2" t="str">
        <x:v>  Downside</x:v>
      </x:c>
      <x:c r="D20" s="2" t="str">
        <x:v>%</x:v>
      </x:c>
      <x:c r="E20" s="30" t="n">
        <x:v>0.08</x:v>
      </x:c>
      <x:c r="F20" s="30" t="n">
        <x:v>0.07</x:v>
      </x:c>
      <x:c r="G20" s="30" t="n">
        <x:v>0.07</x:v>
      </x:c>
      <x:c r="H20" s="30" t="n">
        <x:v>0.06</x:v>
      </x:c>
      <x:c r="I20" s="30" t="n">
        <x:v>0.06</x:v>
      </x:c>
      <x:c r="J20" s="30" t="n">
        <x:v>0.06</x:v>
      </x:c>
      <x:c r="K20" s="2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4" hidden="0" customHeight="1">
      <x:c r="C22" s="26" t="str">
        <x:v>Digital content revenue growth</x:v>
      </x:c>
      <x:c r="D22" s="26" t="str">
        <x:v>%</x:v>
      </x:c>
      <x:c r="E22" s="29" t="n">
        <x:f>CHOOSE($D$5,E23,E24)</x:f>
        <x:v>0.14</x:v>
      </x:c>
      <x:c r="F22" s="29" t="n">
        <x:f>CHOOSE($D$5,F23,F24)</x:f>
        <x:v>0.12</x:v>
      </x:c>
      <x:c r="G22" s="29" t="n">
        <x:f>CHOOSE($D$5,G23,G24)</x:f>
        <x:v>0.1</x:v>
      </x:c>
      <x:c r="H22" s="29" t="n">
        <x:f>CHOOSE($D$5,H23,H24)</x:f>
        <x:v>0.1</x:v>
      </x:c>
      <x:c r="I22" s="29" t="n">
        <x:f>CHOOSE($D$5,I23,I24)</x:f>
        <x:v>0.08</x:v>
      </x:c>
      <x:c r="J22" s="29" t="n">
        <x:f>CHOOSE($D$5,J23,J24)</x:f>
        <x:v>0.08</x:v>
      </x:c>
      <x:c r="K22" s="33" t="str">
        <x:v>9M2025 online-advertising revenue +14.4%; FY2024 audited digital-content revenue +13.6% (9M2025 report p. 5; FY2024 report p. 195).</x:v>
      </x:c>
    </x:row>
    <x:row r="23" ht="15" hidden="0" customHeight="1">
      <x:c r="C23" s="2" t="str">
        <x:v>  Base</x:v>
      </x:c>
      <x:c r="D23" s="2" t="str">
        <x:v>%</x:v>
      </x:c>
      <x:c r="E23" s="30" t="n">
        <x:v>0.14</x:v>
      </x:c>
      <x:c r="F23" s="30" t="n">
        <x:v>0.12</x:v>
      </x:c>
      <x:c r="G23" s="30" t="n">
        <x:v>0.1</x:v>
      </x:c>
      <x:c r="H23" s="30" t="n">
        <x:v>0.1</x:v>
      </x:c>
      <x:c r="I23" s="30" t="n">
        <x:v>0.08</x:v>
      </x:c>
      <x:c r="J23" s="30" t="n">
        <x:v>0.08</x:v>
      </x:c>
      <x:c r="K23" s="2"/>
    </x:row>
    <x:row r="24" ht="15" hidden="0" customHeight="1">
      <x:c r="C24" s="2" t="str">
        <x:v>  Downside</x:v>
      </x:c>
      <x:c r="D24" s="2" t="str">
        <x:v>%</x:v>
      </x:c>
      <x:c r="E24" s="30" t="n">
        <x:v>0.05</x:v>
      </x:c>
      <x:c r="F24" s="30" t="n">
        <x:v>0.05</x:v>
      </x:c>
      <x:c r="G24" s="30" t="n">
        <x:v>0.05</x:v>
      </x:c>
      <x:c r="H24" s="30" t="n">
        <x:v>0.04</x:v>
      </x:c>
      <x:c r="I24" s="30" t="n">
        <x:v>0.04</x:v>
      </x:c>
      <x:c r="J24" s="30" t="n">
        <x:v>0.04</x:v>
      </x:c>
      <x:c r="K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34" hidden="0" customHeight="1">
      <x:c r="C26" s="26" t="str">
        <x:v>Education, investment and other revenue growth</x:v>
      </x:c>
      <x:c r="D26" s="26" t="str">
        <x:v>%</x:v>
      </x:c>
      <x:c r="E26" s="29" t="n">
        <x:f>CHOOSE($D$5,E27,E28)</x:f>
        <x:v>0.05</x:v>
      </x:c>
      <x:c r="F26" s="29" t="n">
        <x:f>CHOOSE($D$5,F27,F28)</x:f>
        <x:v>0.08</x:v>
      </x:c>
      <x:c r="G26" s="29" t="n">
        <x:f>CHOOSE($D$5,G27,G28)</x:f>
        <x:v>0.08</x:v>
      </x:c>
      <x:c r="H26" s="29" t="n">
        <x:f>CHOOSE($D$5,H27,H28)</x:f>
        <x:v>0.08</x:v>
      </x:c>
      <x:c r="I26" s="29" t="n">
        <x:f>CHOOSE($D$5,I27,I28)</x:f>
        <x:v>0.08</x:v>
      </x:c>
      <x:c r="J26" s="29" t="n">
        <x:f>CHOOSE($D$5,J27,J28)</x:f>
        <x:v>0.08</x:v>
      </x:c>
      <x:c r="K26" s="33" t="str">
        <x:v>9M2025 education revenue +1.0%; audited segment combines education, investment and other activities (9M2025 report p. 10; FY2024 report p. 195).</x:v>
      </x:c>
    </x:row>
    <x:row r="27" ht="15" hidden="0" customHeight="1">
      <x:c r="C27" s="2" t="str">
        <x:v>  Base</x:v>
      </x:c>
      <x:c r="D27" s="2" t="str">
        <x:v>%</x:v>
      </x:c>
      <x:c r="E27" s="30" t="n">
        <x:v>0.05</x:v>
      </x:c>
      <x:c r="F27" s="30" t="n">
        <x:v>0.08</x:v>
      </x:c>
      <x:c r="G27" s="30" t="n">
        <x:v>0.08</x:v>
      </x:c>
      <x:c r="H27" s="30" t="n">
        <x:v>0.08</x:v>
      </x:c>
      <x:c r="I27" s="30" t="n">
        <x:v>0.08</x:v>
      </x:c>
      <x:c r="J27" s="30" t="n">
        <x:v>0.08</x:v>
      </x:c>
      <x:c r="K27" s="2"/>
    </x:row>
    <x:row r="28" ht="15" hidden="0" customHeight="1">
      <x:c r="C28" s="2" t="str">
        <x:v>  Downside</x:v>
      </x:c>
      <x:c r="D28" s="2" t="str">
        <x:v>%</x:v>
      </x:c>
      <x:c r="E28" s="30" t="n">
        <x:v>0</x:v>
      </x:c>
      <x:c r="F28" s="30" t="n">
        <x:v>0.03</x:v>
      </x:c>
      <x:c r="G28" s="30" t="n">
        <x:v>0.04</x:v>
      </x:c>
      <x:c r="H28" s="30" t="n">
        <x:v>0.04</x:v>
      </x:c>
      <x:c r="I28" s="30" t="n">
        <x:v>0.04</x:v>
      </x:c>
      <x:c r="J28" s="30" t="n">
        <x:v>0.04</x:v>
      </x:c>
      <x:c r="K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34" hidden="0" customHeight="1">
      <x:c r="C30" s="26" t="str">
        <x:v>Consolidation elimination / gross segment revenue</x:v>
      </x:c>
      <x:c r="D30" s="26" t="str">
        <x:v>%</x:v>
      </x:c>
      <x:c r="E30" s="29" t="n">
        <x:f>CHOOSE($D$5,E31,E32)</x:f>
        <x:v>-0.02</x:v>
      </x:c>
      <x:c r="F30" s="29" t="n">
        <x:f>CHOOSE($D$5,F31,F32)</x:f>
        <x:v>-0.02</x:v>
      </x:c>
      <x:c r="G30" s="29" t="n">
        <x:f>CHOOSE($D$5,G31,G32)</x:f>
        <x:v>-0.02</x:v>
      </x:c>
      <x:c r="H30" s="29" t="n">
        <x:f>CHOOSE($D$5,H31,H32)</x:f>
        <x:v>-0.02</x:v>
      </x:c>
      <x:c r="I30" s="29" t="n">
        <x:f>CHOOSE($D$5,I31,I32)</x:f>
        <x:v>-0.02</x:v>
      </x:c>
      <x:c r="J30" s="29" t="n">
        <x:f>CHOOSE($D$5,J31,J32)</x:f>
        <x:v>-0.02</x:v>
      </x:c>
      <x:c r="K30" s="33" t="str">
        <x:v>FY2020-FY2024 reported eliminations ranged from -2.1% to -3.4% of gross segment revenue; FY2024 was -2.1%.</x:v>
      </x:c>
    </x:row>
    <x:row r="31" ht="15" hidden="0" customHeight="1">
      <x:c r="C31" s="2" t="str">
        <x:v>  Base</x:v>
      </x:c>
      <x:c r="D31" s="2" t="str">
        <x:v>%</x:v>
      </x:c>
      <x:c r="E31" s="30" t="n">
        <x:v>-0.02</x:v>
      </x:c>
      <x:c r="F31" s="30" t="n">
        <x:v>-0.02</x:v>
      </x:c>
      <x:c r="G31" s="30" t="n">
        <x:v>-0.02</x:v>
      </x:c>
      <x:c r="H31" s="30" t="n">
        <x:v>-0.02</x:v>
      </x:c>
      <x:c r="I31" s="30" t="n">
        <x:v>-0.02</x:v>
      </x:c>
      <x:c r="J31" s="30" t="n">
        <x:v>-0.02</x:v>
      </x:c>
      <x:c r="K31" s="2"/>
    </x:row>
    <x:row r="32" ht="15" hidden="0" customHeight="1">
      <x:c r="C32" s="2" t="str">
        <x:v>  Downside</x:v>
      </x:c>
      <x:c r="D32" s="2" t="str">
        <x:v>%</x:v>
      </x:c>
      <x:c r="E32" s="30" t="n">
        <x:v>-0.022</x:v>
      </x:c>
      <x:c r="F32" s="30" t="n">
        <x:v>-0.022</x:v>
      </x:c>
      <x:c r="G32" s="30" t="n">
        <x:v>-0.022</x:v>
      </x:c>
      <x:c r="H32" s="30" t="n">
        <x:v>-0.022</x:v>
      </x:c>
      <x:c r="I32" s="30" t="n">
        <x:v>-0.022</x:v>
      </x:c>
      <x:c r="J32" s="30" t="n">
        <x:v>-0.022</x:v>
      </x:c>
      <x:c r="K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34" hidden="0" customHeight="1">
      <x:c r="C34" s="26" t="str">
        <x:v>EBIT margin before financial items</x:v>
      </x:c>
      <x:c r="D34" s="26" t="str">
        <x:v>%</x:v>
      </x:c>
      <x:c r="E34" s="29" t="n">
        <x:f>CHOOSE($D$5,E35,E36)</x:f>
        <x:v>0.168</x:v>
      </x:c>
      <x:c r="F34" s="29" t="n">
        <x:f>CHOOSE($D$5,F35,F36)</x:f>
        <x:v>0.17</x:v>
      </x:c>
      <x:c r="G34" s="29" t="n">
        <x:f>CHOOSE($D$5,G35,G36)</x:f>
        <x:v>0.172</x:v>
      </x:c>
      <x:c r="H34" s="29" t="n">
        <x:f>CHOOSE($D$5,H35,H36)</x:f>
        <x:v>0.173</x:v>
      </x:c>
      <x:c r="I34" s="29" t="n">
        <x:f>CHOOSE($D$5,I35,I36)</x:f>
        <x:v>0.174</x:v>
      </x:c>
      <x:c r="J34" s="29" t="n">
        <x:f>CHOOSE($D$5,J35,J36)</x:f>
        <x:v>0.175</x:v>
      </x:c>
      <x:c r="K34" s="33" t="str">
        <x:v>EBIT before financial items increased from 15.4% of revenue in FY2020 to 16.7% in FY2024; base case assumes gradual improvement.</x:v>
      </x:c>
    </x:row>
    <x:row r="35" ht="15" hidden="0" customHeight="1">
      <x:c r="C35" s="2" t="str">
        <x:v>  Base</x:v>
      </x:c>
      <x:c r="D35" s="2" t="str">
        <x:v>%</x:v>
      </x:c>
      <x:c r="E35" s="30" t="n">
        <x:v>0.168</x:v>
      </x:c>
      <x:c r="F35" s="30" t="n">
        <x:v>0.17</x:v>
      </x:c>
      <x:c r="G35" s="30" t="n">
        <x:v>0.172</x:v>
      </x:c>
      <x:c r="H35" s="30" t="n">
        <x:v>0.173</x:v>
      </x:c>
      <x:c r="I35" s="30" t="n">
        <x:v>0.174</x:v>
      </x:c>
      <x:c r="J35" s="30" t="n">
        <x:v>0.175</x:v>
      </x:c>
      <x:c r="K35" s="2"/>
    </x:row>
    <x:row r="36" ht="15" hidden="0" customHeight="1">
      <x:c r="C36" s="2" t="str">
        <x:v>  Downside</x:v>
      </x:c>
      <x:c r="D36" s="2" t="str">
        <x:v>%</x:v>
      </x:c>
      <x:c r="E36" s="30" t="n">
        <x:v>0.16</x:v>
      </x:c>
      <x:c r="F36" s="30" t="n">
        <x:v>0.16</x:v>
      </x:c>
      <x:c r="G36" s="30" t="n">
        <x:v>0.162</x:v>
      </x:c>
      <x:c r="H36" s="30" t="n">
        <x:v>0.163</x:v>
      </x:c>
      <x:c r="I36" s="30" t="n">
        <x:v>0.164</x:v>
      </x:c>
      <x:c r="J36" s="30" t="n">
        <x:v>0.165</x:v>
      </x:c>
      <x:c r="K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34" hidden="0" customHeight="1">
      <x:c r="C38" s="26" t="str">
        <x:v>Cash tax rate</x:v>
      </x:c>
      <x:c r="D38" s="26" t="str">
        <x:v>%</x:v>
      </x:c>
      <x:c r="E38" s="29" t="n">
        <x:f>CHOOSE($D$5,E39,E40)</x:f>
        <x:v>0.155</x:v>
      </x:c>
      <x:c r="F38" s="29" t="n">
        <x:f>CHOOSE($D$5,F39,F40)</x:f>
        <x:v>0.155</x:v>
      </x:c>
      <x:c r="G38" s="29" t="n">
        <x:f>CHOOSE($D$5,G39,G40)</x:f>
        <x:v>0.155</x:v>
      </x:c>
      <x:c r="H38" s="29" t="n">
        <x:f>CHOOSE($D$5,H39,H40)</x:f>
        <x:v>0.155</x:v>
      </x:c>
      <x:c r="I38" s="29" t="n">
        <x:f>CHOOSE($D$5,I39,I40)</x:f>
        <x:v>0.155</x:v>
      </x:c>
      <x:c r="J38" s="29" t="n">
        <x:f>CHOOSE($D$5,J39,J40)</x:f>
        <x:v>0.155</x:v>
      </x:c>
      <x:c r="K38" s="33" t="str">
        <x:v>Reported tax expense / PBT was 14.8%-16.0% in FY2020-FY2024. Forecast keeps a stable rate within that range.</x:v>
      </x:c>
    </x:row>
    <x:row r="39" ht="15" hidden="0" customHeight="1">
      <x:c r="C39" s="2" t="str">
        <x:v>  Base</x:v>
      </x:c>
      <x:c r="D39" s="2" t="str">
        <x:v>%</x:v>
      </x:c>
      <x:c r="E39" s="30" t="n">
        <x:v>0.155</x:v>
      </x:c>
      <x:c r="F39" s="30" t="n">
        <x:v>0.155</x:v>
      </x:c>
      <x:c r="G39" s="30" t="n">
        <x:v>0.155</x:v>
      </x:c>
      <x:c r="H39" s="30" t="n">
        <x:v>0.155</x:v>
      </x:c>
      <x:c r="I39" s="30" t="n">
        <x:v>0.155</x:v>
      </x:c>
      <x:c r="J39" s="30" t="n">
        <x:v>0.155</x:v>
      </x:c>
      <x:c r="K39" s="2"/>
    </x:row>
    <x:row r="40" ht="15" hidden="0" customHeight="1">
      <x:c r="C40" s="2" t="str">
        <x:v>  Downside</x:v>
      </x:c>
      <x:c r="D40" s="2" t="str">
        <x:v>%</x:v>
      </x:c>
      <x:c r="E40" s="30" t="n">
        <x:v>0.16</x:v>
      </x:c>
      <x:c r="F40" s="30" t="n">
        <x:v>0.16</x:v>
      </x:c>
      <x:c r="G40" s="30" t="n">
        <x:v>0.16</x:v>
      </x:c>
      <x:c r="H40" s="30" t="n">
        <x:v>0.16</x:v>
      </x:c>
      <x:c r="I40" s="30" t="n">
        <x:v>0.16</x:v>
      </x:c>
      <x:c r="J40" s="30" t="n">
        <x:v>0.16</x:v>
      </x:c>
      <x:c r="K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34" hidden="0" customHeight="1">
      <x:c r="C42" s="26" t="str">
        <x:v>Depreciation and amortisation / revenue</x:v>
      </x:c>
      <x:c r="D42" s="26" t="str">
        <x:v>%</x:v>
      </x:c>
      <x:c r="E42" s="29" t="n">
        <x:f>CHOOSE($D$5,E43,E44)</x:f>
        <x:v>0.041</x:v>
      </x:c>
      <x:c r="F42" s="29" t="n">
        <x:f>CHOOSE($D$5,F43,F44)</x:f>
        <x:v>0.04</x:v>
      </x:c>
      <x:c r="G42" s="29" t="n">
        <x:f>CHOOSE($D$5,G43,G44)</x:f>
        <x:v>0.04</x:v>
      </x:c>
      <x:c r="H42" s="29" t="n">
        <x:f>CHOOSE($D$5,H43,H44)</x:f>
        <x:v>0.039</x:v>
      </x:c>
      <x:c r="I42" s="29" t="n">
        <x:f>CHOOSE($D$5,I43,I44)</x:f>
        <x:v>0.039</x:v>
      </x:c>
      <x:c r="J42" s="29" t="n">
        <x:f>CHOOSE($D$5,J43,J44)</x:f>
        <x:v>0.038</x:v>
      </x:c>
      <x:c r="K42" s="33" t="str">
        <x:v>Reported D&amp;A was 4.0%-5.0% of revenue in FY2020-FY2024 and 4.0% in FY2024.</x:v>
      </x:c>
    </x:row>
    <x:row r="43" ht="15" hidden="0" customHeight="1">
      <x:c r="C43" s="2" t="str">
        <x:v>  Base</x:v>
      </x:c>
      <x:c r="D43" s="2" t="str">
        <x:v>%</x:v>
      </x:c>
      <x:c r="E43" s="30" t="n">
        <x:v>0.041</x:v>
      </x:c>
      <x:c r="F43" s="30" t="n">
        <x:v>0.04</x:v>
      </x:c>
      <x:c r="G43" s="30" t="n">
        <x:v>0.04</x:v>
      </x:c>
      <x:c r="H43" s="30" t="n">
        <x:v>0.039</x:v>
      </x:c>
      <x:c r="I43" s="30" t="n">
        <x:v>0.039</x:v>
      </x:c>
      <x:c r="J43" s="30" t="n">
        <x:v>0.038</x:v>
      </x:c>
      <x:c r="K43" s="2"/>
    </x:row>
    <x:row r="44" ht="15" hidden="0" customHeight="1">
      <x:c r="C44" s="2" t="str">
        <x:v>  Downside</x:v>
      </x:c>
      <x:c r="D44" s="2" t="str">
        <x:v>%</x:v>
      </x:c>
      <x:c r="E44" s="30" t="n">
        <x:v>0.041</x:v>
      </x:c>
      <x:c r="F44" s="30" t="n">
        <x:v>0.041</x:v>
      </x:c>
      <x:c r="G44" s="30" t="n">
        <x:v>0.04</x:v>
      </x:c>
      <x:c r="H44" s="30" t="n">
        <x:v>0.04</x:v>
      </x:c>
      <x:c r="I44" s="30" t="n">
        <x:v>0.039</x:v>
      </x:c>
      <x:c r="J44" s="30" t="n">
        <x:v>0.039</x:v>
      </x:c>
      <x:c r="K44" s="2"/>
    </x:row>
    <x:row r="45" ht="15" hidden="0" customHeight="1"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34" hidden="0" customHeight="1">
      <x:c r="C46" s="26" t="str">
        <x:v>Capital expenditure / revenue</x:v>
      </x:c>
      <x:c r="D46" s="26" t="str">
        <x:v>%</x:v>
      </x:c>
      <x:c r="E46" s="29" t="n">
        <x:f>CHOOSE($D$5,E47,E48)</x:f>
        <x:v>0.06</x:v>
      </x:c>
      <x:c r="F46" s="29" t="n">
        <x:f>CHOOSE($D$5,F47,F48)</x:f>
        <x:v>0.058</x:v>
      </x:c>
      <x:c r="G46" s="29" t="n">
        <x:f>CHOOSE($D$5,G47,G48)</x:f>
        <x:v>0.055</x:v>
      </x:c>
      <x:c r="H46" s="29" t="n">
        <x:f>CHOOSE($D$5,H47,H48)</x:f>
        <x:v>0.052</x:v>
      </x:c>
      <x:c r="I46" s="29" t="n">
        <x:f>CHOOSE($D$5,I47,I48)</x:f>
        <x:v>0.05</x:v>
      </x:c>
      <x:c r="J46" s="29" t="n">
        <x:f>CHOOSE($D$5,J47,J48)</x:f>
        <x:v>0.05</x:v>
      </x:c>
      <x:c r="K46" s="33" t="str">
        <x:v>Cash capex was 5.2% of revenue in FY2024 versus 7.3%-10.1% in FY2020-FY2023. Base case normalises toward 5.0%.</x:v>
      </x:c>
    </x:row>
    <x:row r="47" ht="15" hidden="0" customHeight="1">
      <x:c r="C47" s="2" t="str">
        <x:v>  Base</x:v>
      </x:c>
      <x:c r="D47" s="2" t="str">
        <x:v>%</x:v>
      </x:c>
      <x:c r="E47" s="30" t="n">
        <x:v>0.06</x:v>
      </x:c>
      <x:c r="F47" s="30" t="n">
        <x:v>0.058</x:v>
      </x:c>
      <x:c r="G47" s="30" t="n">
        <x:v>0.055</x:v>
      </x:c>
      <x:c r="H47" s="30" t="n">
        <x:v>0.052</x:v>
      </x:c>
      <x:c r="I47" s="30" t="n">
        <x:v>0.05</x:v>
      </x:c>
      <x:c r="J47" s="30" t="n">
        <x:v>0.05</x:v>
      </x:c>
      <x:c r="K47" s="2"/>
    </x:row>
    <x:row r="48" ht="15" hidden="0" customHeight="1">
      <x:c r="C48" s="2" t="str">
        <x:v>  Downside</x:v>
      </x:c>
      <x:c r="D48" s="2" t="str">
        <x:v>%</x:v>
      </x:c>
      <x:c r="E48" s="30" t="n">
        <x:v>0.06</x:v>
      </x:c>
      <x:c r="F48" s="30" t="n">
        <x:v>0.058</x:v>
      </x:c>
      <x:c r="G48" s="30" t="n">
        <x:v>0.055</x:v>
      </x:c>
      <x:c r="H48" s="30" t="n">
        <x:v>0.052</x:v>
      </x:c>
      <x:c r="I48" s="30" t="n">
        <x:v>0.05</x:v>
      </x:c>
      <x:c r="J48" s="30" t="n">
        <x:v>0.05</x:v>
      </x:c>
      <x:c r="K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34" hidden="0" customHeight="1">
      <x:c r="C50" s="26" t="str">
        <x:v>Change in working capital / incremental revenue</x:v>
      </x:c>
      <x:c r="D50" s="26" t="str">
        <x:v>%</x:v>
      </x:c>
      <x:c r="E50" s="29" t="n">
        <x:f>CHOOSE($D$5,E51,E52)</x:f>
        <x:v>0.02</x:v>
      </x:c>
      <x:c r="F50" s="29" t="n">
        <x:f>CHOOSE($D$5,F51,F52)</x:f>
        <x:v>0.02</x:v>
      </x:c>
      <x:c r="G50" s="29" t="n">
        <x:f>CHOOSE($D$5,G51,G52)</x:f>
        <x:v>0.02</x:v>
      </x:c>
      <x:c r="H50" s="29" t="n">
        <x:f>CHOOSE($D$5,H51,H52)</x:f>
        <x:v>0.02</x:v>
      </x:c>
      <x:c r="I50" s="29" t="n">
        <x:f>CHOOSE($D$5,I51,I52)</x:f>
        <x:v>0.02</x:v>
      </x:c>
      <x:c r="J50" s="29" t="n">
        <x:f>CHOOSE($D$5,J51,J52)</x:f>
        <x:v>0.02</x:v>
      </x:c>
      <x:c r="K50" s="33" t="str">
        <x:v>Reported working-capital cash effects were volatile. Forecast uses a positive investment tied to incremental revenue instead of extrapolating one year.</x:v>
      </x:c>
    </x:row>
    <x:row r="51" ht="15" hidden="0" customHeight="1">
      <x:c r="C51" s="2" t="str">
        <x:v>  Base</x:v>
      </x:c>
      <x:c r="D51" s="2" t="str">
        <x:v>%</x:v>
      </x:c>
      <x:c r="E51" s="30" t="n">
        <x:v>0.02</x:v>
      </x:c>
      <x:c r="F51" s="30" t="n">
        <x:v>0.02</x:v>
      </x:c>
      <x:c r="G51" s="30" t="n">
        <x:v>0.02</x:v>
      </x:c>
      <x:c r="H51" s="30" t="n">
        <x:v>0.02</x:v>
      </x:c>
      <x:c r="I51" s="30" t="n">
        <x:v>0.02</x:v>
      </x:c>
      <x:c r="J51" s="30" t="n">
        <x:v>0.02</x:v>
      </x:c>
      <x:c r="K51" s="2"/>
    </x:row>
    <x:row r="52" ht="15" hidden="0" customHeight="1">
      <x:c r="C52" s="2" t="str">
        <x:v>  Downside</x:v>
      </x:c>
      <x:c r="D52" s="2" t="str">
        <x:v>%</x:v>
      </x:c>
      <x:c r="E52" s="30" t="n">
        <x:v>0.035</x:v>
      </x:c>
      <x:c r="F52" s="30" t="n">
        <x:v>0.035</x:v>
      </x:c>
      <x:c r="G52" s="30" t="n">
        <x:v>0.035</x:v>
      </x:c>
      <x:c r="H52" s="30" t="n">
        <x:v>0.035</x:v>
      </x:c>
      <x:c r="I52" s="30" t="n">
        <x:v>0.035</x:v>
      </x:c>
      <x:c r="J52" s="30" t="n">
        <x:v>0.035</x:v>
      </x:c>
      <x:c r="K52" s="2"/>
    </x:row>
    <x:row r="53" ht="15" hidden="0" customHeight="1"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5" hidden="0" customHeight="1">
      <x:c r="C54" s="34" t="str">
        <x:v>FY2025 assumptions use 9M2025 issuer data as the forecast-origin anchor. Later FY2025 actuals remain outside Clock A.</x:v>
      </x:c>
      <x:c r="D54" s="34" t="str">
        <x:v>FY2025 assumptions use 9M2025 issuer data as the forecast-origin anchor. Later FY2025 actuals remain outside Clock A.</x:v>
      </x:c>
      <x:c r="E54" s="34" t="str">
        <x:v>FY2025 assumptions use 9M2025 issuer data as the forecast-origin anchor. Later FY2025 actuals remain outside Clock A.</x:v>
      </x:c>
      <x:c r="F54" s="34" t="str">
        <x:v>FY2025 assumptions use 9M2025 issuer data as the forecast-origin anchor. Later FY2025 actuals remain outside Clock A.</x:v>
      </x:c>
      <x:c r="G54" s="34" t="str">
        <x:v>FY2025 assumptions use 9M2025 issuer data as the forecast-origin anchor. Later FY2025 actuals remain outside Clock A.</x:v>
      </x:c>
      <x:c r="H54" s="34" t="str">
        <x:v>FY2025 assumptions use 9M2025 issuer data as the forecast-origin anchor. Later FY2025 actuals remain outside Clock A.</x:v>
      </x:c>
      <x:c r="I54" s="34" t="str">
        <x:v>FY2025 assumptions use 9M2025 issuer data as the forecast-origin anchor. Later FY2025 actuals remain outside Clock A.</x:v>
      </x:c>
      <x:c r="J54" s="34" t="str">
        <x:v>FY2025 assumptions use 9M2025 issuer data as the forecast-origin anchor. Later FY2025 actuals remain outside Clock A.</x:v>
      </x:c>
      <x:c r="K54" s="2" t="str">
        <x:v>FY2025 assumptions use 9M2025 issuer data as the forecast-origin anchor. Later FY2025 actuals remain outside Clock A.</x:v>
      </x:c>
    </x:row>
    <x:row r="55" ht="15" hidden="0" customHeight="1"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5" hidden="0" customHeight="1">
      <x:c r="C56" s="2"/>
      <x:c r="D56" s="2"/>
      <x:c r="E56" s="2"/>
      <x:c r="F56" s="2"/>
      <x:c r="G56" s="2"/>
      <x:c r="H56" s="2"/>
      <x:c r="I56" s="2"/>
      <x:c r="J56" s="2"/>
      <x:c r="K56" s="2"/>
    </x:row>
    <x:row r="57"/>
    <x:row r="58"/>
    <x:row r="59"/>
    <x:row r="60"/>
  </x:sheetData>
  <x:mergeCells>
    <x:mergeCell ref="C54:K54"/>
  </x:mergeCells>
  <x:dataValidations count="1">
    <x:dataValidation type="whole" operator="between" sqref="D5">
      <x:formula1>1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Segment revenue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Audited actuals through FY2024. Forecast revenue uses the selected case and preserves consolidation eliminations.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2020A</x:v>
      </x:c>
      <x:c r="F5" s="22" t="str">
        <x:v>2021A</x:v>
      </x:c>
      <x:c r="G5" s="22" t="str">
        <x:v>2022A</x:v>
      </x:c>
      <x:c r="H5" s="22" t="str">
        <x:v>2023A</x:v>
      </x:c>
      <x:c r="I5" s="22" t="str">
        <x:v>2024A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Global IT revenue</x:v>
      </x:c>
      <x:c r="D6" s="2" t="str">
        <x:v>VND bn</x:v>
      </x:c>
      <x:c r="E6" s="36" t="n">
        <x:v>10867.003</x:v>
      </x:c>
      <x:c r="F6" s="36" t="n">
        <x:v>12078.678</x:v>
      </x:c>
      <x:c r="G6" s="36" t="n">
        <x:v>18915.494</x:v>
      </x:c>
      <x:c r="H6" s="36" t="n">
        <x:v>24288.049</x:v>
      </x:c>
      <x:c r="I6" s="36" t="n">
        <x:v>30952.512</x:v>
      </x:c>
      <x:c r="J6" s="37" t="n">
        <x:f>I6*(1+'Assumptions'!E10)</x:f>
        <x:v>35131.10112</x:v>
      </x:c>
      <x:c r="K6" s="37" t="n">
        <x:f>J6*(1+'Assumptions'!F10)</x:f>
        <x:v>40400.766288</x:v>
      </x:c>
      <x:c r="L6" s="37" t="n">
        <x:f>K6*(1+'Assumptions'!G10)</x:f>
        <x:v>46460.88123119999</x:v>
      </x:c>
      <x:c r="M6" s="37" t="n">
        <x:f>L6*(1+'Assumptions'!H10)</x:f>
        <x:v>52965.404603568</x:v>
      </x:c>
      <x:c r="N6" s="37" t="n">
        <x:f>M6*(1+'Assumptions'!I10)</x:f>
        <x:v>59850.907202031834</x:v>
      </x:c>
      <x:c r="O6" s="37" t="n">
        <x:f>N6*(1+'Assumptions'!J10)</x:f>
        <x:v>67033.01606627567</x:v>
      </x:c>
    </x:row>
    <x:row r="7" ht="15" hidden="0" customHeight="1">
      <x:c r="C7" s="2" t="str">
        <x:v>  Growth</x:v>
      </x:c>
      <x:c r="D7" s="2" t="str">
        <x:v>%</x:v>
      </x:c>
      <x:c r="E7" s="39"/>
      <x:c r="F7" s="39" t="n">
        <x:f>F6/E6-1</x:f>
        <x:v>0.11150038331635681</x:v>
      </x:c>
      <x:c r="G7" s="39" t="n">
        <x:f>G6/F6-1</x:f>
        <x:v>0.5660235333701253</x:v>
      </x:c>
      <x:c r="H7" s="39" t="n">
        <x:f>H6/G6-1</x:f>
        <x:v>0.28402932537738645</x:v>
      </x:c>
      <x:c r="I7" s="39" t="n">
        <x:f>I6/H6-1</x:f>
        <x:v>0.2743926858843211</x:v>
      </x:c>
      <x:c r="J7" s="39" t="n">
        <x:f>J6/I6-1</x:f>
        <x:v>0.135</x:v>
      </x:c>
      <x:c r="K7" s="39" t="n">
        <x:f>K6/J6-1</x:f>
        <x:v>0.1499999999999999</x:v>
      </x:c>
      <x:c r="L7" s="39" t="n">
        <x:f>L6/K6-1</x:f>
        <x:v>0.1499999999999999</x:v>
      </x:c>
      <x:c r="M7" s="39" t="n">
        <x:f>M6/L6-1</x:f>
        <x:v>0.14000000000000012</x:v>
      </x:c>
      <x:c r="N7" s="39" t="n">
        <x:f>N6/M6-1</x:f>
        <x:v>0.1299999999999999</x:v>
      </x:c>
      <x:c r="O7" s="39" t="n">
        <x:f>O6/N6-1</x:f>
        <x:v>0.12000000000000033</x:v>
      </x:c>
    </x:row>
    <x:row r="8" ht="15" hidden="0" customHeight="1">
      <x:c r="C8" s="2" t="str"/>
      <x:c r="D8" s="2" t="str"/>
      <x:c r="E8" s="36"/>
      <x:c r="F8" s="36"/>
      <x:c r="G8" s="36"/>
      <x:c r="H8" s="36"/>
      <x:c r="I8" s="36"/>
      <x:c r="J8" s="37"/>
      <x:c r="K8" s="37"/>
      <x:c r="L8" s="37"/>
      <x:c r="M8" s="37"/>
      <x:c r="N8" s="37"/>
      <x:c r="O8" s="37"/>
    </x:row>
    <x:row r="9" ht="15" hidden="0" customHeight="1">
      <x:c r="C9" s="2" t="str">
        <x:v>Domestic IT revenue</x:v>
      </x:c>
      <x:c r="D9" s="2" t="str">
        <x:v>VND bn</x:v>
      </x:c>
      <x:c r="E9" s="36" t="n">
        <x:v>4804.672</x:v>
      </x:c>
      <x:c r="F9" s="36" t="n">
        <x:v>6331.443</x:v>
      </x:c>
      <x:c r="G9" s="36" t="n">
        <x:v>6847.408</x:v>
      </x:c>
      <x:c r="H9" s="36" t="n">
        <x:v>7161.056</x:v>
      </x:c>
      <x:c r="I9" s="36" t="n">
        <x:v>8157.364</x:v>
      </x:c>
      <x:c r="J9" s="37" t="n">
        <x:f>I9*(1+'Assumptions'!E14)</x:f>
        <x:v>8402.08492</x:v>
      </x:c>
      <x:c r="K9" s="37" t="n">
        <x:f>J9*(1+'Assumptions'!F14)</x:f>
        <x:v>9074.2517136</x:v>
      </x:c>
      <x:c r="L9" s="37" t="n">
        <x:f>K9*(1+'Assumptions'!G14)</x:f>
        <x:v>9890.934367824002</x:v>
      </x:c>
      <x:c r="M9" s="37" t="n">
        <x:f>L9*(1+'Assumptions'!H14)</x:f>
        <x:v>10781.118460928163</x:v>
      </x:c>
      <x:c r="N9" s="37" t="n">
        <x:f>M9*(1+'Assumptions'!I14)</x:f>
        <x:v>11643.607937802417</x:v>
      </x:c>
      <x:c r="O9" s="37" t="n">
        <x:f>N9*(1+'Assumptions'!J14)</x:f>
        <x:v>12575.096572826611</x:v>
      </x:c>
    </x:row>
    <x:row r="10" ht="15" hidden="0" customHeight="1">
      <x:c r="C10" s="2" t="str">
        <x:v>  Growth</x:v>
      </x:c>
      <x:c r="D10" s="2" t="str">
        <x:v>%</x:v>
      </x:c>
      <x:c r="E10" s="39"/>
      <x:c r="F10" s="39" t="n">
        <x:f>F9/E9-1</x:f>
        <x:v>0.31776799748245055</x:v>
      </x:c>
      <x:c r="G10" s="39" t="n">
        <x:f>G9/F9-1</x:f>
        <x:v>0.08149248125585284</x:v>
      </x:c>
      <x:c r="H10" s="39" t="n">
        <x:f>H9/G9-1</x:f>
        <x:v>0.04580536167846283</x:v>
      </x:c>
      <x:c r="I10" s="39" t="n">
        <x:f>I9/H9-1</x:f>
        <x:v>0.13912864247954482</x:v>
      </x:c>
      <x:c r="J10" s="39" t="n">
        <x:f>J9/I9-1</x:f>
        <x:v>0.030000000000000027</x:v>
      </x:c>
      <x:c r="K10" s="39" t="n">
        <x:f>K9/J9-1</x:f>
        <x:v>0.08000000000000007</x:v>
      </x:c>
      <x:c r="L10" s="39" t="n">
        <x:f>L9/K9-1</x:f>
        <x:v>0.09000000000000008</x:v>
      </x:c>
      <x:c r="M10" s="39" t="n">
        <x:f>M9/L9-1</x:f>
        <x:v>0.09000000000000008</x:v>
      </x:c>
      <x:c r="N10" s="39" t="n">
        <x:f>N9/M9-1</x:f>
        <x:v>0.08000000000000007</x:v>
      </x:c>
      <x:c r="O10" s="39" t="n">
        <x:f>O9/N9-1</x:f>
        <x:v>0.08000000000000007</x:v>
      </x:c>
    </x:row>
    <x:row r="11" ht="15" hidden="0" customHeight="1">
      <x:c r="C11" s="2" t="str"/>
      <x:c r="D11" s="2" t="str"/>
      <x:c r="E11" s="36"/>
      <x:c r="F11" s="36"/>
      <x:c r="G11" s="36"/>
      <x:c r="H11" s="36"/>
      <x:c r="I11" s="36"/>
      <x:c r="J11" s="37"/>
      <x:c r="K11" s="37"/>
      <x:c r="L11" s="37"/>
      <x:c r="M11" s="37"/>
      <x:c r="N11" s="37"/>
      <x:c r="O11" s="37"/>
    </x:row>
    <x:row r="12" ht="15" hidden="0" customHeight="1">
      <x:c r="C12" s="2" t="str">
        <x:v>Telecom revenue</x:v>
      </x:c>
      <x:c r="D12" s="2" t="str">
        <x:v>VND bn</x:v>
      </x:c>
      <x:c r="E12" s="36" t="n">
        <x:v>12000.26</x:v>
      </x:c>
      <x:c r="F12" s="36" t="n">
        <x:v>14540.801</x:v>
      </x:c>
      <x:c r="G12" s="36" t="n">
        <x:v>13954.22</x:v>
      </x:c>
      <x:c r="H12" s="36" t="n">
        <x:v>15185.852</x:v>
      </x:c>
      <x:c r="I12" s="36" t="n">
        <x:v>16905.897</x:v>
      </x:c>
      <x:c r="J12" s="37" t="n">
        <x:f>I12*(1+'Assumptions'!E18)</x:f>
        <x:v>18934.60464</x:v>
      </x:c>
      <x:c r="K12" s="37" t="n">
        <x:f>J12*(1+'Assumptions'!F18)</x:f>
        <x:v>21017.411150400003</x:v>
      </x:c>
      <x:c r="L12" s="37" t="n">
        <x:f>K12*(1+'Assumptions'!G18)</x:f>
        <x:v>23119.152265440007</x:v>
      </x:c>
      <x:c r="M12" s="37" t="n">
        <x:f>L12*(1+'Assumptions'!H18)</x:f>
        <x:v>25431.06749198401</x:v>
      </x:c>
      <x:c r="N12" s="37" t="n">
        <x:f>M12*(1+'Assumptions'!I18)</x:f>
        <x:v>27719.86356626257</x:v>
      </x:c>
      <x:c r="O12" s="37" t="n">
        <x:f>N12*(1+'Assumptions'!J18)</x:f>
        <x:v>30214.651287226206</x:v>
      </x:c>
    </x:row>
    <x:row r="13" ht="15" hidden="0" customHeight="1">
      <x:c r="C13" s="2" t="str">
        <x:v>  Growth</x:v>
      </x:c>
      <x:c r="D13" s="2" t="str">
        <x:v>%</x:v>
      </x:c>
      <x:c r="E13" s="39"/>
      <x:c r="F13" s="39" t="n">
        <x:f>F12/E12-1</x:f>
        <x:v>0.21170716301146797</x:v>
      </x:c>
      <x:c r="G13" s="39" t="n">
        <x:f>G12/F12-1</x:f>
        <x:v>-0.040340349888565274</x:v>
      </x:c>
      <x:c r="H13" s="39" t="n">
        <x:f>H12/G12-1</x:f>
        <x:v>0.08826233211171974</x:v>
      </x:c>
      <x:c r="I13" s="39" t="n">
        <x:f>I12/H12-1</x:f>
        <x:v>0.11326628232647074</x:v>
      </x:c>
      <x:c r="J13" s="39" t="n">
        <x:f>J12/I12-1</x:f>
        <x:v>0.1200000000000001</x:v>
      </x:c>
      <x:c r="K13" s="39" t="n">
        <x:f>K12/J12-1</x:f>
        <x:v>0.1100000000000001</x:v>
      </x:c>
      <x:c r="L13" s="39" t="n">
        <x:f>L12/K12-1</x:f>
        <x:v>0.10000000000000009</x:v>
      </x:c>
      <x:c r="M13" s="39" t="n">
        <x:f>M12/L12-1</x:f>
        <x:v>0.10000000000000009</x:v>
      </x:c>
      <x:c r="N13" s="39" t="n">
        <x:f>N12/M12-1</x:f>
        <x:v>0.09000000000000008</x:v>
      </x:c>
      <x:c r="O13" s="39" t="n">
        <x:f>O12/N12-1</x:f>
        <x:v>0.09000000000000008</x:v>
      </x:c>
    </x:row>
    <x:row r="14" ht="15" hidden="0" customHeight="1">
      <x:c r="C14" s="2" t="str"/>
      <x:c r="D14" s="2" t="str"/>
      <x:c r="E14" s="36"/>
      <x:c r="F14" s="36"/>
      <x:c r="G14" s="36"/>
      <x:c r="H14" s="36"/>
      <x:c r="I14" s="36"/>
      <x:c r="J14" s="37"/>
      <x:c r="K14" s="37"/>
      <x:c r="L14" s="37"/>
      <x:c r="M14" s="37"/>
      <x:c r="N14" s="37"/>
      <x:c r="O14" s="37"/>
    </x:row>
    <x:row r="15" ht="15" hidden="0" customHeight="1">
      <x:c r="C15" s="2" t="str">
        <x:v>Digital content revenue</x:v>
      </x:c>
      <x:c r="D15" s="2" t="str">
        <x:v>VND bn</x:v>
      </x:c>
      <x:c r="E15" s="36" t="n">
        <x:v>599.151</x:v>
      </x:c>
      <x:c r="F15" s="36" t="n">
        <x:v>607.738</x:v>
      </x:c>
      <x:c r="G15" s="36" t="n">
        <x:v>775.429</x:v>
      </x:c>
      <x:c r="H15" s="36" t="n">
        <x:v>619.959</x:v>
      </x:c>
      <x:c r="I15" s="36" t="n">
        <x:v>704.503</x:v>
      </x:c>
      <x:c r="J15" s="37" t="n">
        <x:f>I15*(1+'Assumptions'!E22)</x:f>
        <x:v>803.1334200000001</x:v>
      </x:c>
      <x:c r="K15" s="37" t="n">
        <x:f>J15*(1+'Assumptions'!F22)</x:f>
        <x:v>899.5094304000003</x:v>
      </x:c>
      <x:c r="L15" s="37" t="n">
        <x:f>K15*(1+'Assumptions'!G22)</x:f>
        <x:v>989.4603734400004</x:v>
      </x:c>
      <x:c r="M15" s="37" t="n">
        <x:f>L15*(1+'Assumptions'!H22)</x:f>
        <x:v>1088.4064107840004</x:v>
      </x:c>
      <x:c r="N15" s="37" t="n">
        <x:f>M15*(1+'Assumptions'!I22)</x:f>
        <x:v>1175.4789236467204</x:v>
      </x:c>
      <x:c r="O15" s="37" t="n">
        <x:f>N15*(1+'Assumptions'!J22)</x:f>
        <x:v>1269.5172375384582</x:v>
      </x:c>
    </x:row>
    <x:row r="16" ht="15" hidden="0" customHeight="1">
      <x:c r="C16" s="2" t="str">
        <x:v>  Growth</x:v>
      </x:c>
      <x:c r="D16" s="2" t="str">
        <x:v>%</x:v>
      </x:c>
      <x:c r="E16" s="39"/>
      <x:c r="F16" s="39" t="n">
        <x:f>F15/E15-1</x:f>
        <x:v>0.01433194637078139</x:v>
      </x:c>
      <x:c r="G16" s="39" t="n">
        <x:f>G15/F15-1</x:f>
        <x:v>0.2759264683136482</x:v>
      </x:c>
      <x:c r="H16" s="39" t="n">
        <x:f>H15/G15-1</x:f>
        <x:v>-0.20049546767015425</x:v>
      </x:c>
      <x:c r="I16" s="39" t="n">
        <x:f>I15/H15-1</x:f>
        <x:v>0.13637030835910124</x:v>
      </x:c>
      <x:c r="J16" s="39" t="n">
        <x:f>J15/I15-1</x:f>
        <x:v>0.14000000000000012</x:v>
      </x:c>
      <x:c r="K16" s="39" t="n">
        <x:f>K15/J15-1</x:f>
        <x:v>0.1200000000000001</x:v>
      </x:c>
      <x:c r="L16" s="39" t="n">
        <x:f>L15/K15-1</x:f>
        <x:v>0.10000000000000009</x:v>
      </x:c>
      <x:c r="M16" s="39" t="n">
        <x:f>M15/L15-1</x:f>
        <x:v>0.10000000000000009</x:v>
      </x:c>
      <x:c r="N16" s="39" t="n">
        <x:f>N15/M15-1</x:f>
        <x:v>0.08000000000000007</x:v>
      </x:c>
      <x:c r="O16" s="39" t="n">
        <x:f>O15/N15-1</x:f>
        <x:v>0.08000000000000007</x:v>
      </x:c>
    </x:row>
    <x:row r="17" ht="15" hidden="0" customHeight="1">
      <x:c r="C17" s="2" t="str"/>
      <x:c r="D17" s="2" t="str"/>
      <x:c r="E17" s="36"/>
      <x:c r="F17" s="36"/>
      <x:c r="G17" s="36"/>
      <x:c r="H17" s="36"/>
      <x:c r="I17" s="36"/>
      <x:c r="J17" s="37"/>
      <x:c r="K17" s="37"/>
      <x:c r="L17" s="37"/>
      <x:c r="M17" s="37"/>
      <x:c r="N17" s="37"/>
      <x:c r="O17" s="37"/>
    </x:row>
    <x:row r="18" ht="15" hidden="0" customHeight="1">
      <x:c r="C18" s="2" t="str">
        <x:v>Education, investment and other revenue</x:v>
      </x:c>
      <x:c r="D18" s="2" t="str">
        <x:v>VND bn</x:v>
      </x:c>
      <x:c r="E18" s="36" t="n">
        <x:v>2187.175</x:v>
      </x:c>
      <x:c r="F18" s="36" t="n">
        <x:v>3237.52</x:v>
      </x:c>
      <x:c r="G18" s="36" t="n">
        <x:v>5066.948</x:v>
      </x:c>
      <x:c r="H18" s="36" t="n">
        <x:v>6572.8</x:v>
      </x:c>
      <x:c r="I18" s="36" t="n">
        <x:v>7444.159</x:v>
      </x:c>
      <x:c r="J18" s="37" t="n">
        <x:f>I18*(1+'Assumptions'!E26)</x:f>
        <x:v>7816.36695</x:v>
      </x:c>
      <x:c r="K18" s="37" t="n">
        <x:f>J18*(1+'Assumptions'!F26)</x:f>
        <x:v>8441.676306</x:v>
      </x:c>
      <x:c r="L18" s="37" t="n">
        <x:f>K18*(1+'Assumptions'!G26)</x:f>
        <x:v>9117.01041048</x:v>
      </x:c>
      <x:c r="M18" s="37" t="n">
        <x:f>L18*(1+'Assumptions'!H26)</x:f>
        <x:v>9846.3712433184</x:v>
      </x:c>
      <x:c r="N18" s="37" t="n">
        <x:f>M18*(1+'Assumptions'!I26)</x:f>
        <x:v>10634.080942783872</x:v>
      </x:c>
      <x:c r="O18" s="37" t="n">
        <x:f>N18*(1+'Assumptions'!J26)</x:f>
        <x:v>11484.807418206583</x:v>
      </x:c>
    </x:row>
    <x:row r="19" ht="15" hidden="0" customHeight="1">
      <x:c r="C19" s="2" t="str">
        <x:v>  Growth</x:v>
      </x:c>
      <x:c r="D19" s="2" t="str">
        <x:v>%</x:v>
      </x:c>
      <x:c r="E19" s="39"/>
      <x:c r="F19" s="39" t="n">
        <x:f>F18/E18-1</x:f>
        <x:v>0.4802290626035868</x:v>
      </x:c>
      <x:c r="G19" s="39" t="n">
        <x:f>G18/F18-1</x:f>
        <x:v>0.5650707949294522</x:v>
      </x:c>
      <x:c r="H19" s="39" t="n">
        <x:f>H18/G18-1</x:f>
        <x:v>0.2971911296504326</x:v>
      </x:c>
      <x:c r="I19" s="39" t="n">
        <x:f>I18/H18-1</x:f>
        <x:v>0.13257044182083733</x:v>
      </x:c>
      <x:c r="J19" s="39" t="n">
        <x:f>J18/I18-1</x:f>
        <x:v>0.050000000000000044</x:v>
      </x:c>
      <x:c r="K19" s="39" t="n">
        <x:f>K18/J18-1</x:f>
        <x:v>0.08000000000000007</x:v>
      </x:c>
      <x:c r="L19" s="39" t="n">
        <x:f>L18/K18-1</x:f>
        <x:v>0.08000000000000007</x:v>
      </x:c>
      <x:c r="M19" s="39" t="n">
        <x:f>M18/L18-1</x:f>
        <x:v>0.08000000000000007</x:v>
      </x:c>
      <x:c r="N19" s="39" t="n">
        <x:f>N18/M18-1</x:f>
        <x:v>0.08000000000000007</x:v>
      </x:c>
      <x:c r="O19" s="39" t="n">
        <x:f>O18/N18-1</x:f>
        <x:v>0.08000000000000007</x:v>
      </x:c>
    </x:row>
    <x:row r="20" ht="15" hidden="0" customHeight="1">
      <x:c r="C20" s="2" t="str"/>
      <x:c r="D20" s="2" t="str"/>
      <x:c r="E20" s="36"/>
      <x:c r="F20" s="36"/>
      <x:c r="G20" s="36"/>
      <x:c r="H20" s="36"/>
      <x:c r="I20" s="36"/>
      <x:c r="J20" s="37"/>
      <x:c r="K20" s="37"/>
      <x:c r="L20" s="37"/>
      <x:c r="M20" s="37"/>
      <x:c r="N20" s="37"/>
      <x:c r="O20" s="37"/>
    </x:row>
    <x:row r="21" ht="15" hidden="0" customHeight="1">
      <x:c r="C21" s="40" t="str">
        <x:v>Gross segment revenue</x:v>
      </x:c>
      <x:c r="D21" s="40" t="str">
        <x:v>VND bn</x:v>
      </x:c>
      <x:c r="E21" s="41" t="n">
        <x:f>SUM(E6,E9,E12,E15,E18)</x:f>
        <x:v>30458.261</x:v>
      </x:c>
      <x:c r="F21" s="41" t="n">
        <x:f>SUM(F6,F9,F12,F15,F18)</x:f>
        <x:v>36796.17999999999</x:v>
      </x:c>
      <x:c r="G21" s="41" t="n">
        <x:f>SUM(G6,G9,G12,G15,G18)</x:f>
        <x:v>45559.498999999996</x:v>
      </x:c>
      <x:c r="H21" s="41" t="n">
        <x:f>SUM(H6,H9,H12,H15,H18)</x:f>
        <x:v>53827.71600000001</x:v>
      </x:c>
      <x:c r="I21" s="41" t="n">
        <x:f>SUM(I6,I9,I12,I15,I18)</x:f>
        <x:v>64164.435</x:v>
      </x:c>
      <x:c r="J21" s="41" t="n">
        <x:f>SUM(J6,J9,J12,J15,J18)</x:f>
        <x:v>71087.29105</x:v>
      </x:c>
      <x:c r="K21" s="41" t="n">
        <x:f>SUM(K6,K9,K12,K15,K18)</x:f>
        <x:v>79833.61488839998</x:v>
      </x:c>
      <x:c r="L21" s="41" t="n">
        <x:f>SUM(L6,L9,L12,L15,L18)</x:f>
        <x:v>89577.438648384</x:v>
      </x:c>
      <x:c r="M21" s="41" t="n">
        <x:f>SUM(M6,M9,M12,M15,M18)</x:f>
        <x:v>100112.36821058256</x:v>
      </x:c>
      <x:c r="N21" s="41" t="n">
        <x:f>SUM(N6,N9,N12,N15,N18)</x:f>
        <x:v>111023.93857252742</x:v>
      </x:c>
      <x:c r="O21" s="41" t="n">
        <x:f>SUM(O6,O9,O12,O15,O18)</x:f>
        <x:v>122577.08858207354</x:v>
      </x:c>
    </x:row>
    <x:row r="22" ht="15" hidden="0" customHeight="1">
      <x:c r="C22" s="2" t="str">
        <x:v>Consolidation elimination revenue</x:v>
      </x:c>
      <x:c r="D22" s="2" t="str">
        <x:v>VND bn</x:v>
      </x:c>
      <x:c r="E22" s="36" t="n">
        <x:v>-627.86</x:v>
      </x:c>
      <x:c r="F22" s="36" t="n">
        <x:v>-1138.917</x:v>
      </x:c>
      <x:c r="G22" s="36" t="n">
        <x:v>-1549.971</x:v>
      </x:c>
      <x:c r="H22" s="36" t="n">
        <x:v>-1209.815</x:v>
      </x:c>
      <x:c r="I22" s="36" t="n">
        <x:v>-1315.641</x:v>
      </x:c>
      <x:c r="J22" s="37" t="n">
        <x:f>J21*'Assumptions'!E30</x:f>
        <x:v>-1421.745821</x:v>
      </x:c>
      <x:c r="K22" s="37" t="n">
        <x:f>K21*'Assumptions'!F30</x:f>
        <x:v>-1596.6722977679997</x:v>
      </x:c>
      <x:c r="L22" s="37" t="n">
        <x:f>L21*'Assumptions'!G30</x:f>
        <x:v>-1791.5487729676802</x:v>
      </x:c>
      <x:c r="M22" s="37" t="n">
        <x:f>M21*'Assumptions'!H30</x:f>
        <x:v>-2002.2473642116513</x:v>
      </x:c>
      <x:c r="N22" s="37" t="n">
        <x:f>N21*'Assumptions'!I30</x:f>
        <x:v>-2220.4787714505483</x:v>
      </x:c>
      <x:c r="O22" s="37" t="n">
        <x:f>O21*'Assumptions'!J30</x:f>
        <x:v>-2451.541771641471</x:v>
      </x:c>
    </x:row>
    <x:row r="23" ht="15" hidden="0" customHeight="1">
      <x:c r="C23" s="2" t="str">
        <x:v>  Elimination / gross segment revenue</x:v>
      </x:c>
      <x:c r="D23" s="2" t="str">
        <x:v>%</x:v>
      </x:c>
      <x:c r="E23" s="39" t="n">
        <x:f>E22/E21</x:f>
        <x:v>-0.020613783564334156</x:v>
      </x:c>
      <x:c r="F23" s="39" t="n">
        <x:f>F22/F21</x:f>
        <x:v>-0.030952044478530113</x:v>
      </x:c>
      <x:c r="G23" s="39" t="n">
        <x:f>G22/G21</x:f>
        <x:v>-0.0340208087011668</x:v>
      </x:c>
      <x:c r="H23" s="39" t="n">
        <x:f>H22/H21</x:f>
        <x:v>-0.022475688918326013</x:v>
      </x:c>
      <x:c r="I23" s="39" t="n">
        <x:f>I22/I21</x:f>
        <x:v>-0.02050420922431562</x:v>
      </x:c>
      <x:c r="J23" s="39" t="n">
        <x:f>J22/J21</x:f>
        <x:v>-0.02</x:v>
      </x:c>
      <x:c r="K23" s="39" t="n">
        <x:f>K22/K21</x:f>
        <x:v>-0.02</x:v>
      </x:c>
      <x:c r="L23" s="39" t="n">
        <x:f>L22/L21</x:f>
        <x:v>-0.02</x:v>
      </x:c>
      <x:c r="M23" s="39" t="n">
        <x:f>M22/M21</x:f>
        <x:v>-0.02</x:v>
      </x:c>
      <x:c r="N23" s="39" t="n">
        <x:f>N22/N21</x:f>
        <x:v>-0.02</x:v>
      </x:c>
      <x:c r="O23" s="39" t="n">
        <x:f>O22/O21</x:f>
        <x:v>-0.02</x:v>
      </x:c>
    </x:row>
    <x:row r="24" ht="15" hidden="0" customHeight="1">
      <x:c r="C24" s="40" t="str">
        <x:v>Group revenue</x:v>
      </x:c>
      <x:c r="D24" s="40" t="str">
        <x:v>VND bn</x:v>
      </x:c>
      <x:c r="E24" s="41" t="n">
        <x:f>E21+E22</x:f>
        <x:v>29830.400999999998</x:v>
      </x:c>
      <x:c r="F24" s="41" t="n">
        <x:f>F21+F22</x:f>
        <x:v>35657.26299999999</x:v>
      </x:c>
      <x:c r="G24" s="41" t="n">
        <x:f>G21+G22</x:f>
        <x:v>44009.528</x:v>
      </x:c>
      <x:c r="H24" s="41" t="n">
        <x:f>H21+H22</x:f>
        <x:v>52617.901000000005</x:v>
      </x:c>
      <x:c r="I24" s="41" t="n">
        <x:f>I21+I22</x:f>
        <x:v>62848.793999999994</x:v>
      </x:c>
      <x:c r="J24" s="41" t="n">
        <x:f>J21+J22</x:f>
        <x:v>69665.545229</x:v>
      </x:c>
      <x:c r="K24" s="41" t="n">
        <x:f>K21+K22</x:f>
        <x:v>78236.94259063198</x:v>
      </x:c>
      <x:c r="L24" s="41" t="n">
        <x:f>L21+L22</x:f>
        <x:v>87785.88987541632</x:v>
      </x:c>
      <x:c r="M24" s="41" t="n">
        <x:f>M21+M22</x:f>
        <x:v>98110.1208463709</x:v>
      </x:c>
      <x:c r="N24" s="41" t="n">
        <x:f>N21+N22</x:f>
        <x:v>108803.45980107687</x:v>
      </x:c>
      <x:c r="O24" s="41" t="n">
        <x:f>O21+O22</x:f>
        <x:v>120125.54681043208</x:v>
      </x:c>
    </x:row>
    <x:row r="25" ht="15" hidden="0" customHeight="1">
      <x:c r="C25" s="2" t="str">
        <x:v>  Group revenue growth</x:v>
      </x:c>
      <x:c r="D25" s="2" t="str">
        <x:v>%</x:v>
      </x:c>
      <x:c r="E25" s="39"/>
      <x:c r="F25" s="39" t="n">
        <x:f>F24/E24-1</x:f>
        <x:v>0.1953330094355752</x:v>
      </x:c>
      <x:c r="G25" s="39" t="n">
        <x:f>G24/F24-1</x:f>
        <x:v>0.23423741188436153</x:v>
      </x:c>
      <x:c r="H25" s="39" t="n">
        <x:f>H24/G24-1</x:f>
        <x:v>0.1956024840802657</x:v>
      </x:c>
      <x:c r="I25" s="39" t="n">
        <x:f>I24/H24-1</x:f>
        <x:v>0.19443749761131657</x:v>
      </x:c>
      <x:c r="J25" s="39" t="n">
        <x:f>J24/I24-1</x:f>
        <x:v>0.10846272132127144</x:v>
      </x:c>
      <x:c r="K25" s="39" t="n">
        <x:f>K24/J24-1</x:f>
        <x:v>0.12303639242981101</x:v>
      </x:c>
      <x:c r="L25" s="39" t="n">
        <x:f>L24/K24-1</x:f>
        <x:v>0.12205164170011584</x:v>
      </x:c>
      <x:c r="M25" s="39" t="n">
        <x:f>M24/L24-1</x:f>
        <x:v>0.11760695238843599</x:v>
      </x:c>
      <x:c r="N25" s="39" t="n">
        <x:f>N24/M24-1</x:f>
        <x:v>0.10899322987737925</x:v>
      </x:c>
      <x:c r="O25" s="39" t="n">
        <x:f>O24/N24-1</x:f>
        <x:v>0.1040599906478632</x:v>
      </x:c>
    </x:row>
    <x:row r="26" ht="15" hidden="0" customHeight="1">
      <x:c r="C26" s="2" t="str"/>
      <x:c r="D26" s="2" t="str"/>
      <x:c r="E26" s="36"/>
      <x:c r="F26" s="36"/>
      <x:c r="G26" s="36"/>
      <x:c r="H26" s="36"/>
      <x:c r="I26" s="36"/>
      <x:c r="J26" s="38"/>
      <x:c r="K26" s="38"/>
      <x:c r="L26" s="38"/>
      <x:c r="M26" s="38"/>
      <x:c r="N26" s="38"/>
      <x:c r="O26" s="38"/>
    </x:row>
    <x:row r="27" ht="15" hidden="0" customHeight="1">
      <x:c r="C27" s="40" t="str">
        <x:v>Group profit before tax</x:v>
      </x:c>
      <x:c r="D27" s="40" t="str">
        <x:v>VND bn</x:v>
      </x:c>
      <x:c r="E27" s="42" t="n">
        <x:v>5263.457</x:v>
      </x:c>
      <x:c r="F27" s="42" t="n">
        <x:v>6337.206</x:v>
      </x:c>
      <x:c r="G27" s="42" t="n">
        <x:v>7662.283</x:v>
      </x:c>
      <x:c r="H27" s="42" t="n">
        <x:v>9203.006</x:v>
      </x:c>
      <x:c r="I27" s="42" t="n">
        <x:v>11069.666</x:v>
      </x:c>
      <x:c r="J27" s="41"/>
      <x:c r="K27" s="41"/>
      <x:c r="L27" s="41"/>
      <x:c r="M27" s="41"/>
      <x:c r="N27" s="41"/>
      <x:c r="O27" s="41"/>
    </x:row>
    <x:row r="28" ht="15" hidden="0" customHeight="1">
      <x:c r="C28" s="2" t="str">
        <x:v>  PBT margin</x:v>
      </x:c>
      <x:c r="D28" s="2" t="str">
        <x:v>%</x:v>
      </x:c>
      <x:c r="E28" s="39" t="n">
        <x:f>E27/E24</x:f>
        <x:v>0.17644606922984377</x:v>
      </x:c>
      <x:c r="F28" s="39" t="n">
        <x:f>F27/F24</x:f>
        <x:v>0.17772553098088323</x:v>
      </x:c>
      <x:c r="G28" s="39" t="n">
        <x:f>G27/G24</x:f>
        <x:v>0.1741050937878725</x:v>
      </x:c>
      <x:c r="H28" s="39" t="n">
        <x:f>H27/H24</x:f>
        <x:v>0.1749025678542365</x:v>
      </x:c>
      <x:c r="I28" s="39" t="n">
        <x:f>I27/I24</x:f>
        <x:v>0.17613171702228686</x:v>
      </x:c>
      <x:c r="J28" s="39"/>
      <x:c r="K28" s="39"/>
      <x:c r="L28" s="39"/>
      <x:c r="M28" s="39"/>
      <x:c r="N28" s="39"/>
      <x:c r="O28" s="39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Free cash flow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Historical FCFF uses an EBIT-before-financial-items definition. Forecast values are driven by the selected case.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2020A</x:v>
      </x:c>
      <x:c r="F5" s="22" t="str">
        <x:v>2021A</x:v>
      </x:c>
      <x:c r="G5" s="22" t="str">
        <x:v>2022A</x:v>
      </x:c>
      <x:c r="H5" s="22" t="str">
        <x:v>2023A</x:v>
      </x:c>
      <x:c r="I5" s="22" t="str">
        <x:v>2024A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Revenue</x:v>
      </x:c>
      <x:c r="D6" s="2" t="str">
        <x:v>VND bn</x:v>
      </x:c>
      <x:c r="E6" s="37" t="n">
        <x:f>'Segment Build'!E24</x:f>
        <x:v>29830.400999999998</x:v>
      </x:c>
      <x:c r="F6" s="37" t="n">
        <x:f>'Segment Build'!F24</x:f>
        <x:v>35657.26299999999</x:v>
      </x:c>
      <x:c r="G6" s="37" t="n">
        <x:f>'Segment Build'!G24</x:f>
        <x:v>44009.528</x:v>
      </x:c>
      <x:c r="H6" s="37" t="n">
        <x:f>'Segment Build'!H24</x:f>
        <x:v>52617.901000000005</x:v>
      </x:c>
      <x:c r="I6" s="37" t="n">
        <x:f>'Segment Build'!I24</x:f>
        <x:v>62848.793999999994</x:v>
      </x:c>
      <x:c r="J6" s="37" t="n">
        <x:f>'Segment Build'!J24</x:f>
        <x:v>69665.545229</x:v>
      </x:c>
      <x:c r="K6" s="37" t="n">
        <x:f>'Segment Build'!K24</x:f>
        <x:v>78236.94259063198</x:v>
      </x:c>
      <x:c r="L6" s="37" t="n">
        <x:f>'Segment Build'!L24</x:f>
        <x:v>87785.88987541632</x:v>
      </x:c>
      <x:c r="M6" s="37" t="n">
        <x:f>'Segment Build'!M24</x:f>
        <x:v>98110.1208463709</x:v>
      </x:c>
      <x:c r="N6" s="37" t="n">
        <x:f>'Segment Build'!N24</x:f>
        <x:v>108803.45980107687</x:v>
      </x:c>
      <x:c r="O6" s="37" t="n">
        <x:f>'Segment Build'!O24</x:f>
        <x:v>120125.54681043208</x:v>
      </x:c>
    </x:row>
    <x:row r="7" ht="15" hidden="0" customHeight="1">
      <x:c r="C7" s="2" t="str">
        <x:v>  Growth</x:v>
      </x:c>
      <x:c r="D7" s="2" t="str">
        <x:v>%</x:v>
      </x:c>
      <x:c r="E7" s="39"/>
      <x:c r="F7" s="39" t="n">
        <x:f>F6/E6-1</x:f>
        <x:v>0.1953330094355752</x:v>
      </x:c>
      <x:c r="G7" s="39" t="n">
        <x:f>G6/F6-1</x:f>
        <x:v>0.23423741188436153</x:v>
      </x:c>
      <x:c r="H7" s="39" t="n">
        <x:f>H6/G6-1</x:f>
        <x:v>0.1956024840802657</x:v>
      </x:c>
      <x:c r="I7" s="39" t="n">
        <x:f>I6/H6-1</x:f>
        <x:v>0.19443749761131657</x:v>
      </x:c>
      <x:c r="J7" s="39" t="n">
        <x:f>J6/I6-1</x:f>
        <x:v>0.10846272132127144</x:v>
      </x:c>
      <x:c r="K7" s="39" t="n">
        <x:f>K6/J6-1</x:f>
        <x:v>0.12303639242981101</x:v>
      </x:c>
      <x:c r="L7" s="39" t="n">
        <x:f>L6/K6-1</x:f>
        <x:v>0.12205164170011584</x:v>
      </x:c>
      <x:c r="M7" s="39" t="n">
        <x:f>M6/L6-1</x:f>
        <x:v>0.11760695238843599</x:v>
      </x:c>
      <x:c r="N7" s="39" t="n">
        <x:f>N6/M6-1</x:f>
        <x:v>0.10899322987737925</x:v>
      </x:c>
      <x:c r="O7" s="39" t="n">
        <x:f>O6/N6-1</x:f>
        <x:v>0.1040599906478632</x:v>
      </x:c>
    </x:row>
    <x:row r="8" ht="15" hidden="0" customHeight="1">
      <x:c r="C8" s="2" t="str"/>
      <x:c r="D8" s="2" t="str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</x:row>
    <x:row r="9" ht="15" hidden="0" customHeight="1">
      <x:c r="C9" s="2" t="str">
        <x:v>EBIT before financial items</x:v>
      </x:c>
      <x:c r="D9" s="2" t="str">
        <x:v>VND bn</x:v>
      </x:c>
      <x:c r="E9" s="36" t="n">
        <x:v>4604.729678588</x:v>
      </x:c>
      <x:c r="F9" s="36" t="n">
        <x:v>5415.027516223</x:v>
      </x:c>
      <x:c r="G9" s="36" t="n">
        <x:v>6794.557295869</x:v>
      </x:c>
      <x:c r="H9" s="36" t="n">
        <x:v>8451.627899363</x:v>
      </x:c>
      <x:c r="I9" s="36" t="n">
        <x:v>10508.347783359</x:v>
      </x:c>
      <x:c r="J9" s="37" t="n">
        <x:f>J6*'Assumptions'!E34</x:f>
        <x:v>11703.811598472</x:v>
      </x:c>
      <x:c r="K9" s="37" t="n">
        <x:f>K6*'Assumptions'!F34</x:f>
        <x:v>13300.280240407437</x:v>
      </x:c>
      <x:c r="L9" s="37" t="n">
        <x:f>L6*'Assumptions'!G34</x:f>
        <x:v>15099.173058571607</x:v>
      </x:c>
      <x:c r="M9" s="37" t="n">
        <x:f>M6*'Assumptions'!H34</x:f>
        <x:v>16973.050906422166</x:v>
      </x:c>
      <x:c r="N9" s="37" t="n">
        <x:f>N6*'Assumptions'!I34</x:f>
        <x:v>18931.802005387373</x:v>
      </x:c>
      <x:c r="O9" s="37" t="n">
        <x:f>O6*'Assumptions'!J34</x:f>
        <x:v>21021.970691825612</x:v>
      </x:c>
    </x:row>
    <x:row r="10" ht="15" hidden="0" customHeight="1">
      <x:c r="C10" s="2" t="str">
        <x:v>  EBIT margin</x:v>
      </x:c>
      <x:c r="D10" s="2" t="str">
        <x:v>%</x:v>
      </x:c>
      <x:c r="E10" s="39" t="n">
        <x:f>E9/E6</x:f>
        <x:v>0.15436365332762372</x:v>
      </x:c>
      <x:c r="F10" s="39" t="n">
        <x:f>F9/F6</x:f>
        <x:v>0.15186324077153654</x:v>
      </x:c>
      <x:c r="G10" s="39" t="n">
        <x:f>G9/G6</x:f>
        <x:v>0.154388324634361</x:v>
      </x:c>
      <x:c r="H10" s="39" t="n">
        <x:f>H9/H6</x:f>
        <x:v>0.1606226728687448</x:v>
      </x:c>
      <x:c r="I10" s="39" t="n">
        <x:f>I9/I6</x:f>
        <x:v>0.1672004682119915</x:v>
      </x:c>
      <x:c r="J10" s="39" t="n">
        <x:f>J9/J6</x:f>
        <x:v>0.168</x:v>
      </x:c>
      <x:c r="K10" s="39" t="n">
        <x:f>K9/K6</x:f>
        <x:v>0.17</x:v>
      </x:c>
      <x:c r="L10" s="39" t="n">
        <x:f>L9/L6</x:f>
        <x:v>0.172</x:v>
      </x:c>
      <x:c r="M10" s="39" t="n">
        <x:f>M9/M6</x:f>
        <x:v>0.173</x:v>
      </x:c>
      <x:c r="N10" s="39" t="n">
        <x:f>N9/N6</x:f>
        <x:v>0.174</x:v>
      </x:c>
      <x:c r="O10" s="39" t="n">
        <x:f>O9/O6</x:f>
        <x:v>0.175</x:v>
      </x:c>
    </x:row>
    <x:row r="11" ht="15" hidden="0" customHeight="1">
      <x:c r="C11" s="2" t="str"/>
      <x:c r="D11" s="2" t="str"/>
      <x:c r="E11" s="36"/>
      <x:c r="F11" s="36"/>
      <x:c r="G11" s="36"/>
      <x:c r="H11" s="36"/>
      <x:c r="I11" s="36"/>
      <x:c r="J11" s="37"/>
      <x:c r="K11" s="37"/>
      <x:c r="L11" s="37"/>
      <x:c r="M11" s="37"/>
      <x:c r="N11" s="37"/>
      <x:c r="O11" s="37"/>
    </x:row>
    <x:row r="12" ht="15" hidden="0" customHeight="1">
      <x:c r="C12" s="2" t="str">
        <x:v>Group profit before tax</x:v>
      </x:c>
      <x:c r="D12" s="2" t="str">
        <x:v>VND bn</x:v>
      </x:c>
      <x:c r="E12" s="38" t="n">
        <x:f>'Segment Build'!E27</x:f>
        <x:v>5263.457</x:v>
      </x:c>
      <x:c r="F12" s="38" t="n">
        <x:f>'Segment Build'!F27</x:f>
        <x:v>6337.206</x:v>
      </x:c>
      <x:c r="G12" s="38" t="n">
        <x:f>'Segment Build'!G27</x:f>
        <x:v>7662.283</x:v>
      </x:c>
      <x:c r="H12" s="38" t="n">
        <x:f>'Segment Build'!H27</x:f>
        <x:v>9203.006</x:v>
      </x:c>
      <x:c r="I12" s="38" t="n">
        <x:f>'Segment Build'!I27</x:f>
        <x:v>11069.666</x:v>
      </x:c>
      <x:c r="J12" s="37"/>
      <x:c r="K12" s="37"/>
      <x:c r="L12" s="37"/>
      <x:c r="M12" s="37"/>
      <x:c r="N12" s="37"/>
      <x:c r="O12" s="37"/>
    </x:row>
    <x:row r="13" ht="15" hidden="0" customHeight="1">
      <x:c r="C13" s="2" t="str">
        <x:v>Tax expense</x:v>
      </x:c>
      <x:c r="D13" s="2" t="str">
        <x:v>VND bn</x:v>
      </x:c>
      <x:c r="E13" s="36" t="n">
        <x:v>839.711412369</x:v>
      </x:c>
      <x:c r="F13" s="36" t="n">
        <x:v>987.905341462</x:v>
      </x:c>
      <x:c r="G13" s="36" t="n">
        <x:v>1170.937505411</x:v>
      </x:c>
      <x:c r="H13" s="36" t="n">
        <x:v>1414.956358954</x:v>
      </x:c>
      <x:c r="I13" s="36" t="n">
        <x:v>1642.243887375</x:v>
      </x:c>
      <x:c r="J13" s="38" t="n">
        <x:f>J9*J14</x:f>
        <x:v>1814.09079776316</x:v>
      </x:c>
      <x:c r="K13" s="38" t="n">
        <x:f>K9*K14</x:f>
        <x:v>2061.5434372631526</x:v>
      </x:c>
      <x:c r="L13" s="38" t="n">
        <x:f>L9*L14</x:f>
        <x:v>2340.371824078599</x:v>
      </x:c>
      <x:c r="M13" s="38" t="n">
        <x:f>M9*M14</x:f>
        <x:v>2630.822890495436</x:v>
      </x:c>
      <x:c r="N13" s="38" t="n">
        <x:f>N9*N14</x:f>
        <x:v>2934.429310835043</x:v>
      </x:c>
      <x:c r="O13" s="38" t="n">
        <x:f>O9*O14</x:f>
        <x:v>3258.40545723297</x:v>
      </x:c>
    </x:row>
    <x:row r="14" ht="15" hidden="0" customHeight="1">
      <x:c r="C14" s="2" t="str">
        <x:v>  Cash tax rate</x:v>
      </x:c>
      <x:c r="D14" s="2" t="str">
        <x:v>%</x:v>
      </x:c>
      <x:c r="E14" s="39" t="n">
        <x:f>E13/E12</x:f>
        <x:v>0.15953610191343826</x:v>
      </x:c>
      <x:c r="F14" s="39" t="n">
        <x:f>F13/F12</x:f>
        <x:v>0.15588973144663437</x:v>
      </x:c>
      <x:c r="G14" s="39" t="n">
        <x:f>G13/G12</x:f>
        <x:v>0.15281835784595793</x:v>
      </x:c>
      <x:c r="H14" s="39" t="n">
        <x:f>H13/H12</x:f>
        <x:v>0.15374936829922747</x:v>
      </x:c>
      <x:c r="I14" s="39" t="n">
        <x:f>I13/I12</x:f>
        <x:v>0.14835532412405217</x:v>
      </x:c>
      <x:c r="J14" s="43" t="n">
        <x:f>'Assumptions'!E38</x:f>
        <x:v>0.155</x:v>
      </x:c>
      <x:c r="K14" s="43" t="n">
        <x:f>'Assumptions'!F38</x:f>
        <x:v>0.155</x:v>
      </x:c>
      <x:c r="L14" s="43" t="n">
        <x:f>'Assumptions'!G38</x:f>
        <x:v>0.155</x:v>
      </x:c>
      <x:c r="M14" s="43" t="n">
        <x:f>'Assumptions'!H38</x:f>
        <x:v>0.155</x:v>
      </x:c>
      <x:c r="N14" s="43" t="n">
        <x:f>'Assumptions'!I38</x:f>
        <x:v>0.155</x:v>
      </x:c>
      <x:c r="O14" s="43" t="n">
        <x:f>'Assumptions'!J38</x:f>
        <x:v>0.155</x:v>
      </x:c>
    </x:row>
    <x:row r="15" ht="15" hidden="0" customHeight="1">
      <x:c r="C15" s="2" t="str"/>
      <x:c r="D15" s="2" t="str"/>
      <x:c r="E15" s="36"/>
      <x:c r="F15" s="36"/>
      <x:c r="G15" s="36"/>
      <x:c r="H15" s="36"/>
      <x:c r="I15" s="36"/>
      <x:c r="J15" s="37"/>
      <x:c r="K15" s="37"/>
      <x:c r="L15" s="37"/>
      <x:c r="M15" s="37"/>
      <x:c r="N15" s="37"/>
      <x:c r="O15" s="37"/>
    </x:row>
    <x:row r="16" ht="15" hidden="0" customHeight="1">
      <x:c r="C16" s="40" t="str">
        <x:v>NOPAT</x:v>
      </x:c>
      <x:c r="D16" s="40" t="str">
        <x:v>VND bn</x:v>
      </x:c>
      <x:c r="E16" s="41" t="n">
        <x:f>E9*(1-E14)</x:f>
        <x:v>3870.109055300951</x:v>
      </x:c>
      <x:c r="F16" s="41" t="n">
        <x:f>F9*(1-F14)</x:f>
        <x:v>4570.880330942861</x:v>
      </x:c>
      <x:c r="G16" s="41" t="n">
        <x:f>G9*(1-G14)</x:f>
        <x:v>5756.224207624027</x:v>
      </x:c>
      <x:c r="H16" s="41" t="n">
        <x:f>H9*(1-H14)</x:f>
        <x:v>7152.1954487358125</x:v>
      </x:c>
      <x:c r="I16" s="41" t="n">
        <x:f>I9*(1-I14)</x:f>
        <x:v>8949.37844195051</x:v>
      </x:c>
      <x:c r="J16" s="41" t="n">
        <x:f>J9*(1-J14)</x:f>
        <x:v>9889.720800708841</x:v>
      </x:c>
      <x:c r="K16" s="41" t="n">
        <x:f>K9*(1-K14)</x:f>
        <x:v>11238.736803144284</x:v>
      </x:c>
      <x:c r="L16" s="41" t="n">
        <x:f>L9*(1-L14)</x:f>
        <x:v>12758.801234493007</x:v>
      </x:c>
      <x:c r="M16" s="41" t="n">
        <x:f>M9*(1-M14)</x:f>
        <x:v>14342.22801592673</x:v>
      </x:c>
      <x:c r="N16" s="41" t="n">
        <x:f>N9*(1-N14)</x:f>
        <x:v>15997.37269455233</x:v>
      </x:c>
      <x:c r="O16" s="41" t="n">
        <x:f>O9*(1-O14)</x:f>
        <x:v>17763.565234592643</x:v>
      </x:c>
    </x:row>
    <x:row r="17" ht="15" hidden="0" customHeight="1">
      <x:c r="C17" s="2" t="str"/>
      <x:c r="D17" s="2" t="str"/>
      <x:c r="E17" s="36"/>
      <x:c r="F17" s="36"/>
      <x:c r="G17" s="36"/>
      <x:c r="H17" s="36"/>
      <x:c r="I17" s="36"/>
      <x:c r="J17" s="37"/>
      <x:c r="K17" s="37"/>
      <x:c r="L17" s="37"/>
      <x:c r="M17" s="37"/>
      <x:c r="N17" s="37"/>
      <x:c r="O17" s="37"/>
    </x:row>
    <x:row r="18" ht="15" hidden="0" customHeight="1">
      <x:c r="C18" s="2" t="str">
        <x:v>Depreciation and amortisation</x:v>
      </x:c>
      <x:c r="D18" s="2" t="str">
        <x:v>VND bn</x:v>
      </x:c>
      <x:c r="E18" s="36" t="n">
        <x:v>1490.607476892</x:v>
      </x:c>
      <x:c r="F18" s="36" t="n">
        <x:v>1643.915685332</x:v>
      </x:c>
      <x:c r="G18" s="36" t="n">
        <x:v>1833.064499128</x:v>
      </x:c>
      <x:c r="H18" s="36" t="n">
        <x:v>2286.514158688</x:v>
      </x:c>
      <x:c r="I18" s="36" t="n">
        <x:v>2535.298475665</x:v>
      </x:c>
      <x:c r="J18" s="37" t="n">
        <x:f>J6*'Assumptions'!E42</x:f>
        <x:v>2856.287354389</x:v>
      </x:c>
      <x:c r="K18" s="37" t="n">
        <x:f>K6*'Assumptions'!F42</x:f>
        <x:v>3129.4777036252794</x:v>
      </x:c>
      <x:c r="L18" s="37" t="n">
        <x:f>L6*'Assumptions'!G42</x:f>
        <x:v>3511.435595016653</x:v>
      </x:c>
      <x:c r="M18" s="37" t="n">
        <x:f>M6*'Assumptions'!H42</x:f>
        <x:v>3826.2947130084654</x:v>
      </x:c>
      <x:c r="N18" s="37" t="n">
        <x:f>N6*'Assumptions'!I42</x:f>
        <x:v>4243.334932241998</x:v>
      </x:c>
      <x:c r="O18" s="37" t="n">
        <x:f>O6*'Assumptions'!J42</x:f>
        <x:v>4564.770778796419</x:v>
      </x:c>
    </x:row>
    <x:row r="19" ht="15" hidden="0" customHeight="1">
      <x:c r="C19" s="2" t="str">
        <x:v>  D&amp;A / revenue</x:v>
      </x:c>
      <x:c r="D19" s="2" t="str">
        <x:v>%</x:v>
      </x:c>
      <x:c r="E19" s="39" t="n">
        <x:f>E18/E6</x:f>
        <x:v>0.04996940795036581</x:v>
      </x:c>
      <x:c r="F19" s="39" t="n">
        <x:f>F18/F6</x:f>
        <x:v>0.04610324929684032</x:v>
      </x:c>
      <x:c r="G19" s="39" t="n">
        <x:f>G18/G6</x:f>
        <x:v>0.04165153734727626</x:v>
      </x:c>
      <x:c r="H19" s="39" t="n">
        <x:f>H18/H6</x:f>
        <x:v>0.04345506216008122</x:v>
      </x:c>
      <x:c r="I19" s="39" t="n">
        <x:f>I18/I6</x:f>
        <x:v>0.0403396519536238</x:v>
      </x:c>
      <x:c r="J19" s="39" t="n">
        <x:f>J18/J6</x:f>
        <x:v>0.041</x:v>
      </x:c>
      <x:c r="K19" s="39" t="n">
        <x:f>K18/K6</x:f>
        <x:v>0.04</x:v>
      </x:c>
      <x:c r="L19" s="39" t="n">
        <x:f>L18/L6</x:f>
        <x:v>0.04</x:v>
      </x:c>
      <x:c r="M19" s="39" t="n">
        <x:f>M18/M6</x:f>
        <x:v>0.039</x:v>
      </x:c>
      <x:c r="N19" s="39" t="n">
        <x:f>N18/N6</x:f>
        <x:v>0.039</x:v>
      </x:c>
      <x:c r="O19" s="39" t="n">
        <x:f>O18/O6</x:f>
        <x:v>0.038</x:v>
      </x:c>
    </x:row>
    <x:row r="20" ht="15" hidden="0" customHeight="1">
      <x:c r="C20" s="2" t="str"/>
      <x:c r="D20" s="2" t="str"/>
      <x:c r="E20" s="36"/>
      <x:c r="F20" s="36"/>
      <x:c r="G20" s="36"/>
      <x:c r="H20" s="36"/>
      <x:c r="I20" s="36"/>
      <x:c r="J20" s="37"/>
      <x:c r="K20" s="37"/>
      <x:c r="L20" s="37"/>
      <x:c r="M20" s="37"/>
      <x:c r="N20" s="37"/>
      <x:c r="O20" s="37"/>
    </x:row>
    <x:row r="21" ht="15" hidden="0" customHeight="1">
      <x:c r="C21" s="2" t="str">
        <x:v>Capital expenditure</x:v>
      </x:c>
      <x:c r="D21" s="2" t="str">
        <x:v>VND bn</x:v>
      </x:c>
      <x:c r="E21" s="36" t="n">
        <x:v>3017.645357713</x:v>
      </x:c>
      <x:c r="F21" s="36" t="n">
        <x:v>2911.001172725</x:v>
      </x:c>
      <x:c r="G21" s="36" t="n">
        <x:v>3215.243200871</x:v>
      </x:c>
      <x:c r="H21" s="36" t="n">
        <x:v>3978.252082224</x:v>
      </x:c>
      <x:c r="I21" s="36" t="n">
        <x:v>3275.312325702</x:v>
      </x:c>
      <x:c r="J21" s="37" t="n">
        <x:f>J6*'Assumptions'!E46</x:f>
        <x:v>4179.93271374</x:v>
      </x:c>
      <x:c r="K21" s="37" t="n">
        <x:f>K6*'Assumptions'!F46</x:f>
        <x:v>4537.742670256655</x:v>
      </x:c>
      <x:c r="L21" s="37" t="n">
        <x:f>L6*'Assumptions'!G46</x:f>
        <x:v>4828.223943147897</x:v>
      </x:c>
      <x:c r="M21" s="37" t="n">
        <x:f>M6*'Assumptions'!H46</x:f>
        <x:v>5101.726284011287</x:v>
      </x:c>
      <x:c r="N21" s="37" t="n">
        <x:f>N6*'Assumptions'!I46</x:f>
        <x:v>5440.172990053844</x:v>
      </x:c>
      <x:c r="O21" s="37" t="n">
        <x:f>O6*'Assumptions'!J46</x:f>
        <x:v>6006.277340521604</x:v>
      </x:c>
    </x:row>
    <x:row r="22" ht="15" hidden="0" customHeight="1">
      <x:c r="C22" s="2" t="str">
        <x:v>  Capex / revenue</x:v>
      </x:c>
      <x:c r="D22" s="2" t="str">
        <x:v>%</x:v>
      </x:c>
      <x:c r="E22" s="39" t="n">
        <x:f>E21/E6</x:f>
        <x:v>0.10116006679605145</x:v>
      </x:c>
      <x:c r="F22" s="39" t="n">
        <x:f>F21/F6</x:f>
        <x:v>0.08163837961217048</x:v>
      </x:c>
      <x:c r="G22" s="39" t="n">
        <x:f>G21/G6</x:f>
        <x:v>0.07305788875697554</x:v>
      </x:c>
      <x:c r="H22" s="39" t="n">
        <x:f>H21/H6</x:f>
        <x:v>0.07560643823903199</x:v>
      </x:c>
      <x:c r="I22" s="39" t="n">
        <x:f>I21/I6</x:f>
        <x:v>0.052114163490583454</x:v>
      </x:c>
      <x:c r="J22" s="39" t="n">
        <x:f>J21/J6</x:f>
        <x:v>0.06</x:v>
      </x:c>
      <x:c r="K22" s="39" t="n">
        <x:f>K21/K6</x:f>
        <x:v>0.058</x:v>
      </x:c>
      <x:c r="L22" s="39" t="n">
        <x:f>L21/L6</x:f>
        <x:v>0.05499999999999999</x:v>
      </x:c>
      <x:c r="M22" s="39" t="n">
        <x:f>M21/M6</x:f>
        <x:v>0.052</x:v>
      </x:c>
      <x:c r="N22" s="39" t="n">
        <x:f>N21/N6</x:f>
        <x:v>0.05</x:v>
      </x:c>
      <x:c r="O22" s="39" t="n">
        <x:f>O21/O6</x:f>
        <x:v>0.05</x:v>
      </x:c>
    </x:row>
    <x:row r="23" ht="15" hidden="0" customHeight="1">
      <x:c r="C23" s="2" t="str"/>
      <x:c r="D23" s="2" t="str"/>
      <x:c r="E23" s="36"/>
      <x:c r="F23" s="36"/>
      <x:c r="G23" s="36"/>
      <x:c r="H23" s="36"/>
      <x:c r="I23" s="36"/>
      <x:c r="J23" s="37"/>
      <x:c r="K23" s="37"/>
      <x:c r="L23" s="37"/>
      <x:c r="M23" s="37"/>
      <x:c r="N23" s="37"/>
      <x:c r="O23" s="37"/>
    </x:row>
    <x:row r="24" ht="15" hidden="0" customHeight="1">
      <x:c r="C24" s="2" t="str">
        <x:v>Working-capital cash effect</x:v>
      </x:c>
      <x:c r="D24" s="2" t="str">
        <x:v>VND bn</x:v>
      </x:c>
      <x:c r="E24" s="36" t="n">
        <x:v>1368.495173285</x:v>
      </x:c>
      <x:c r="F24" s="36" t="n">
        <x:v>622.81184097</x:v>
      </x:c>
      <x:c r="G24" s="36" t="n">
        <x:v>-1780.942589548</x:v>
      </x:c>
      <x:c r="H24" s="36" t="n">
        <x:v>678.455083089</x:v>
      </x:c>
      <x:c r="I24" s="36" t="n">
        <x:v>302.676186985</x:v>
      </x:c>
      <x:c r="J24" s="38" t="n">
        <x:f>-J25</x:f>
        <x:v>-136.33502458000004</x:v>
      </x:c>
      <x:c r="K24" s="38" t="n">
        <x:f>-K25</x:f>
        <x:v>-171.42794723263972</x:v>
      </x:c>
      <x:c r="L24" s="38" t="n">
        <x:f>-L25</x:f>
        <x:v>-190.97894569568686</x:v>
      </x:c>
      <x:c r="M24" s="38" t="n">
        <x:f>-M25</x:f>
        <x:v>-206.48461941909162</x:v>
      </x:c>
      <x:c r="N24" s="38" t="n">
        <x:f>-N25</x:f>
        <x:v>-213.86677909411927</x:v>
      </x:c>
      <x:c r="O24" s="38" t="n">
        <x:f>-O25</x:f>
        <x:v>-226.44174018710416</x:v>
      </x:c>
    </x:row>
    <x:row r="25" ht="15" hidden="0" customHeight="1">
      <x:c r="C25" s="2" t="str">
        <x:v>Change in working capital used in FCFF</x:v>
      </x:c>
      <x:c r="D25" s="2" t="str">
        <x:v>VND bn</x:v>
      </x:c>
      <x:c r="E25" s="38" t="n">
        <x:f>-E24</x:f>
        <x:v>-1368.495173285</x:v>
      </x:c>
      <x:c r="F25" s="38" t="n">
        <x:f>-F24</x:f>
        <x:v>-622.81184097</x:v>
      </x:c>
      <x:c r="G25" s="38" t="n">
        <x:f>-G24</x:f>
        <x:v>1780.942589548</x:v>
      </x:c>
      <x:c r="H25" s="38" t="n">
        <x:f>-H24</x:f>
        <x:v>-678.455083089</x:v>
      </x:c>
      <x:c r="I25" s="38" t="n">
        <x:f>-I24</x:f>
        <x:v>-302.676186985</x:v>
      </x:c>
      <x:c r="J25" s="37" t="n">
        <x:f>(J6-I6)*'Assumptions'!E50</x:f>
        <x:v>136.33502458000004</x:v>
      </x:c>
      <x:c r="K25" s="37" t="n">
        <x:f>(K6-J6)*'Assumptions'!F50</x:f>
        <x:v>171.42794723263972</x:v>
      </x:c>
      <x:c r="L25" s="37" t="n">
        <x:f>(L6-K6)*'Assumptions'!G50</x:f>
        <x:v>190.97894569568686</x:v>
      </x:c>
      <x:c r="M25" s="37" t="n">
        <x:f>(M6-L6)*'Assumptions'!H50</x:f>
        <x:v>206.48461941909162</x:v>
      </x:c>
      <x:c r="N25" s="37" t="n">
        <x:f>(N6-M6)*'Assumptions'!I50</x:f>
        <x:v>213.86677909411927</x:v>
      </x:c>
      <x:c r="O25" s="37" t="n">
        <x:f>(O6-N6)*'Assumptions'!J50</x:f>
        <x:v>226.44174018710416</x:v>
      </x:c>
    </x:row>
    <x:row r="26" ht="15" hidden="0" customHeight="1">
      <x:c r="C26" s="2" t="str">
        <x:v>  Change in NWC / incremental revenue</x:v>
      </x:c>
      <x:c r="D26" s="2" t="str">
        <x:v>%</x:v>
      </x:c>
      <x:c r="E26" s="39"/>
      <x:c r="F26" s="39" t="n">
        <x:f>F25/(F6-E6)</x:f>
        <x:v>-0.1068863207966828</x:v>
      </x:c>
      <x:c r="G26" s="39" t="n">
        <x:f>G25/(G6-F6)</x:f>
        <x:v>0.21322869779012021</x:v>
      </x:c>
      <x:c r="H26" s="39" t="n">
        <x:f>H25/(H6-G6)</x:f>
        <x:v>-0.07881339285472405</x:v>
      </x:c>
      <x:c r="I26" s="39" t="n">
        <x:f>I25/(I6-H6)</x:f>
        <x:v>-0.029584532551068646</x:v>
      </x:c>
      <x:c r="J26" s="39" t="n">
        <x:f>J25/(J6-I6)</x:f>
        <x:v>0.02</x:v>
      </x:c>
      <x:c r="K26" s="39" t="n">
        <x:f>K25/(K6-J6)</x:f>
        <x:v>0.02</x:v>
      </x:c>
      <x:c r="L26" s="39" t="n">
        <x:f>L25/(L6-K6)</x:f>
        <x:v>0.02</x:v>
      </x:c>
      <x:c r="M26" s="39" t="n">
        <x:f>M25/(M6-L6)</x:f>
        <x:v>0.02</x:v>
      </x:c>
      <x:c r="N26" s="39" t="n">
        <x:f>N25/(N6-M6)</x:f>
        <x:v>0.02</x:v>
      </x:c>
      <x:c r="O26" s="39" t="n">
        <x:f>O25/(O6-N6)</x:f>
        <x:v>0.02</x:v>
      </x:c>
    </x:row>
    <x:row r="27" ht="15" hidden="0" customHeight="1">
      <x:c r="C27" s="2" t="str"/>
      <x:c r="D27" s="2" t="str"/>
      <x:c r="E27" s="36"/>
      <x:c r="F27" s="36"/>
      <x:c r="G27" s="36"/>
      <x:c r="H27" s="36"/>
      <x:c r="I27" s="36"/>
      <x:c r="J27" s="38"/>
      <x:c r="K27" s="38"/>
      <x:c r="L27" s="38"/>
      <x:c r="M27" s="38"/>
      <x:c r="N27" s="38"/>
      <x:c r="O27" s="38"/>
    </x:row>
    <x:row r="28" ht="15" hidden="0" customHeight="1">
      <x:c r="C28" s="40" t="str">
        <x:v>FCFF</x:v>
      </x:c>
      <x:c r="D28" s="40" t="str">
        <x:v>VND bn</x:v>
      </x:c>
      <x:c r="E28" s="41" t="n">
        <x:f>E16+E18-E21-E25</x:f>
        <x:v>3711.5663477649505</x:v>
      </x:c>
      <x:c r="F28" s="41" t="n">
        <x:f>F16+F18-F21-F25</x:f>
        <x:v>3926.6066845198616</x:v>
      </x:c>
      <x:c r="G28" s="41" t="n">
        <x:f>G16+G18-G21-G25</x:f>
        <x:v>2593.1029163330277</x:v>
      </x:c>
      <x:c r="H28" s="41" t="n">
        <x:f>H16+H18-H21-H25</x:f>
        <x:v>6138.912608288812</x:v>
      </x:c>
      <x:c r="I28" s="41" t="n">
        <x:f>I16+I18-I21-I25</x:f>
        <x:v>8512.04077889851</x:v>
      </x:c>
      <x:c r="J28" s="41" t="n">
        <x:f>J16+J18-J21-J25</x:f>
        <x:v>8429.740416777842</x:v>
      </x:c>
      <x:c r="K28" s="41" t="n">
        <x:f>K16+K18-K21-K25</x:f>
        <x:v>9659.043889280269</x:v>
      </x:c>
      <x:c r="L28" s="41" t="n">
        <x:f>L16+L18-L21-L25</x:f>
        <x:v>11251.033940666077</x:v>
      </x:c>
      <x:c r="M28" s="41" t="n">
        <x:f>M16+M18-M21-M25</x:f>
        <x:v>12860.311825504818</x:v>
      </x:c>
      <x:c r="N28" s="41" t="n">
        <x:f>N16+N18-N21-N25</x:f>
        <x:v>14586.667857646362</x:v>
      </x:c>
      <x:c r="O28" s="41" t="n">
        <x:f>O16+O18-O21-O25</x:f>
        <x:v>16095.616932680354</x:v>
      </x:c>
    </x:row>
    <x:row r="29" ht="15" hidden="0" customHeight="1">
      <x:c r="C29" s="2" t="str">
        <x:v>  FCFF margin</x:v>
      </x:c>
      <x:c r="D29" s="2" t="str">
        <x:v>%</x:v>
      </x:c>
      <x:c r="E29" s="39" t="n">
        <x:f>E28/E6</x:f>
        <x:v>0.12442227470441818</x:v>
      </x:c>
      <x:c r="F29" s="39" t="n">
        <x:f>F28/F6</x:f>
        <x:v>0.11012081001617714</x:v>
      </x:c>
      <x:c r="G29" s="39" t="n">
        <x:f>G28/G6</x:f>
        <x:v>0.058921398028468464</x:v>
      </x:c>
      <x:c r="H29" s="39" t="n">
        <x:f>H28/H6</x:f>
        <x:v>0.11666965978534209</x:v>
      </x:c>
      <x:c r="I29" s="39" t="n">
        <x:f>I28/I6</x:f>
        <x:v>0.13543681966114593</x:v>
      </x:c>
      <x:c r="J29" s="39" t="n">
        <x:f>J28/J6</x:f>
        <x:v>0.12100300642258888</x:v>
      </x:c>
      <x:c r="K29" s="39" t="n">
        <x:f>K28/K6</x:f>
        <x:v>0.12345886188089401</x:v>
      </x:c>
      <x:c r="L29" s="39" t="n">
        <x:f>L28/L6</x:f>
        <x:v>0.12816449154452134</x:v>
      </x:c>
      <x:c r="M29" s="39" t="n">
        <x:f>M28/M6</x:f>
        <x:v>0.1310803790125035</x:v>
      </x:c>
      <x:c r="N29" s="39" t="n">
        <x:f>N28/N6</x:f>
        <x:v>0.13406437519831507</x:v>
      </x:c>
      <x:c r="O29" s="39" t="n">
        <x:f>O28/O6</x:f>
        <x:v>0.1339899576738706</x:v>
      </x:c>
    </x:row>
    <x:row r="30" ht="15" hidden="0" customHeight="1">
      <x:c r="C30" s="2" t="str"/>
      <x:c r="D30" s="2" t="str"/>
      <x:c r="E30" s="36"/>
      <x:c r="F30" s="36"/>
      <x:c r="G30" s="36"/>
      <x:c r="H30" s="36"/>
      <x:c r="I30" s="36"/>
      <x:c r="J30" s="38"/>
      <x:c r="K30" s="38"/>
      <x:c r="L30" s="38"/>
      <x:c r="M30" s="38"/>
      <x:c r="N30" s="38"/>
      <x:c r="O30" s="38"/>
    </x:row>
    <x:row r="31" ht="15" hidden="0" customHeight="1">
      <x:c r="C31" s="2" t="str">
        <x:v>Operating cash flow</x:v>
      </x:c>
      <x:c r="D31" s="2" t="str">
        <x:v>VND bn</x:v>
      </x:c>
      <x:c r="E31" s="36" t="n">
        <x:v>6339.679033336</x:v>
      </x:c>
      <x:c r="F31" s="36" t="n">
        <x:v>5839.693554727</x:v>
      </x:c>
      <x:c r="G31" s="36" t="n">
        <x:v>5053.8317567</x:v>
      </x:c>
      <x:c r="H31" s="36" t="n">
        <x:v>9517.095698405</x:v>
      </x:c>
      <x:c r="I31" s="36" t="n">
        <x:v>11703.777188868</x:v>
      </x:c>
      <x:c r="J31" s="38"/>
      <x:c r="K31" s="38"/>
      <x:c r="L31" s="38"/>
      <x:c r="M31" s="38"/>
      <x:c r="N31" s="38"/>
      <x:c r="O31" s="38"/>
    </x:row>
    <x:row r="32" ht="15" hidden="0" customHeight="1">
      <x:c r="C32" s="2" t="str">
        <x:v>Interest paid</x:v>
      </x:c>
      <x:c r="D32" s="2" t="str">
        <x:v>VND bn</x:v>
      </x:c>
      <x:c r="E32" s="36" t="n">
        <x:v>401.913784732</x:v>
      </x:c>
      <x:c r="F32" s="36" t="n">
        <x:v>451.555665838</x:v>
      </x:c>
      <x:c r="G32" s="36" t="n">
        <x:v>635.688969538</x:v>
      </x:c>
      <x:c r="H32" s="36" t="n">
        <x:v>832.038375945</x:v>
      </x:c>
      <x:c r="I32" s="36" t="n">
        <x:v>607.154747076</x:v>
      </x:c>
      <x:c r="J32" s="38"/>
      <x:c r="K32" s="38"/>
      <x:c r="L32" s="38"/>
      <x:c r="M32" s="38"/>
      <x:c r="N32" s="38"/>
      <x:c r="O32" s="38"/>
    </x:row>
    <x:row r="33" ht="15" hidden="0" customHeight="1">
      <x:c r="C33" s="40" t="str">
        <x:v>CFO-based unlevered FCF proxy</x:v>
      </x:c>
      <x:c r="D33" s="40" t="str">
        <x:v>VND bn</x:v>
      </x:c>
      <x:c r="E33" s="41" t="n">
        <x:f>E31+E32*(1-E14)-E21</x:f>
        <x:v>3659.8277018335807</x:v>
      </x:c>
      <x:c r="F33" s="41" t="n">
        <x:f>F31+F32*(1-F14)-F21</x:f>
        <x:v>3309.8551563593087</x:v>
      </x:c>
      <x:c r="G33" s="41" t="n">
        <x:f>G31+G32*(1-G14)-G21</x:f>
        <x:v>2377.132580941414</x:v>
      </x:c>
      <x:c r="H33" s="41" t="n">
        <x:f>H31+H32*(1-H14)-H21</x:f>
        <x:v>6242.956617423741</x:v>
      </x:c>
      <x:c r="I33" s="41" t="n">
        <x:f>I31+I32*(1-I14)-I21</x:f>
        <x:v>8945.544970946083</x:v>
      </x:c>
      <x:c r="J33" s="41"/>
      <x:c r="K33" s="41"/>
      <x:c r="L33" s="41"/>
      <x:c r="M33" s="41"/>
      <x:c r="N33" s="41"/>
      <x:c r="O33" s="41"/>
    </x:row>
    <x:row r="34" ht="15" hidden="0" customHeight="1">
      <x:c r="C34" s="2" t="str">
        <x:v>Difference to FCFF</x:v>
      </x:c>
      <x:c r="D34" s="2" t="str">
        <x:v>VND bn</x:v>
      </x:c>
      <x:c r="E34" s="38" t="n">
        <x:f>E33-E28</x:f>
        <x:v>-51.738645931369774</x:v>
      </x:c>
      <x:c r="F34" s="38" t="n">
        <x:f>F33-F28</x:f>
        <x:v>-616.7515281605529</x:v>
      </x:c>
      <x:c r="G34" s="38" t="n">
        <x:f>G33-G28</x:f>
        <x:v>-215.97033539161384</x:v>
      </x:c>
      <x:c r="H34" s="38" t="n">
        <x:f>H33-H28</x:f>
        <x:v>104.04400913492827</x:v>
      </x:c>
      <x:c r="I34" s="38" t="n">
        <x:f>I33-I28</x:f>
        <x:v>433.50419204757236</x:v>
      </x:c>
      <x:c r="J34" s="38"/>
      <x:c r="K34" s="38"/>
      <x:c r="L34" s="38"/>
      <x:c r="M34" s="38"/>
      <x:c r="N34" s="38"/>
      <x:c r="O34" s="38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18" hidden="0" customHeight="1">
      <x:c r="C2" s="3" t="str">
        <x:v>FPT audited annual actuals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Consolidated figures. VND billion unless stated otherwise. FY2020 uses the reclassified comparative in the FY2021 filing.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n">
        <x:v>2020</x:v>
      </x:c>
      <x:c r="F5" s="22" t="n">
        <x:v>2021</x:v>
      </x:c>
      <x:c r="G5" s="22" t="n">
        <x:v>2022</x:v>
      </x:c>
      <x:c r="H5" s="22" t="n">
        <x:v>2023</x:v>
      </x:c>
      <x:c r="I5" s="23" t="n">
        <x:v>2024</x:v>
      </x:c>
      <x:c r="J5" s="2"/>
    </x:row>
    <x:row r="6" ht="15" hidden="0" customHeight="1">
      <x:c r="C6" s="2" t="str">
        <x:v>Net revenue</x:v>
      </x:c>
      <x:c r="D6" s="34" t="str">
        <x:v>VND bn</x:v>
      </x:c>
      <x:c r="E6" s="36" t="n">
        <x:v>29830.400526824</x:v>
      </x:c>
      <x:c r="F6" s="36" t="n">
        <x:v>35657.262545027</x:v>
      </x:c>
      <x:c r="G6" s="36" t="n">
        <x:v>44009.527680911</x:v>
      </x:c>
      <x:c r="H6" s="36" t="n">
        <x:v>52617.900827385</x:v>
      </x:c>
      <x:c r="I6" s="36" t="n">
        <x:v>62848.794351367</x:v>
      </x:c>
      <x:c r="J6" s="2"/>
    </x:row>
    <x:row r="7" ht="15" hidden="0" customHeight="1">
      <x:c r="C7" s="2" t="str">
        <x:v>Gross profit</x:v>
      </x:c>
      <x:c r="D7" s="34" t="str">
        <x:v>VND bn</x:v>
      </x:c>
      <x:c r="E7" s="36" t="n">
        <x:v>11617.339725623</x:v>
      </x:c>
      <x:c r="F7" s="36" t="n">
        <x:v>13631.964236778</x:v>
      </x:c>
      <x:c r="G7" s="36" t="n">
        <x:v>17167.278641198</x:v>
      </x:c>
      <x:c r="H7" s="36" t="n">
        <x:v>20319.553444682</x:v>
      </x:c>
      <x:c r="I7" s="36" t="n">
        <x:v>23698.348369916</x:v>
      </x:c>
      <x:c r="J7" s="2"/>
    </x:row>
    <x:row r="8" ht="15" hidden="0" customHeight="1">
      <x:c r="C8" s="2" t="str">
        <x:v>Net operating profit</x:v>
      </x:c>
      <x:c r="D8" s="34" t="str">
        <x:v>VND bn</x:v>
      </x:c>
      <x:c r="E8" s="36" t="n">
        <x:v>5190.654463931</x:v>
      </x:c>
      <x:c r="F8" s="36" t="n">
        <x:v>6228.494136764</x:v>
      </x:c>
      <x:c r="G8" s="36" t="n">
        <x:v>7589.289622311</x:v>
      </x:c>
      <x:c r="H8" s="36" t="n">
        <x:v>9111.745534433</x:v>
      </x:c>
      <x:c r="I8" s="36" t="n">
        <x:v>11025.080772955</x:v>
      </x:c>
      <x:c r="J8" s="2"/>
    </x:row>
    <x:row r="9" ht="15" hidden="0" customHeight="1">
      <x:c r="C9" s="2" t="str">
        <x:v>Profit before tax</x:v>
      </x:c>
      <x:c r="D9" s="34" t="str">
        <x:v>VND bn</x:v>
      </x:c>
      <x:c r="E9" s="36" t="n">
        <x:v>5263.456629967</x:v>
      </x:c>
      <x:c r="F9" s="36" t="n">
        <x:v>6337.206440958</x:v>
      </x:c>
      <x:c r="G9" s="36" t="n">
        <x:v>7662.28295988</x:v>
      </x:c>
      <x:c r="H9" s="36" t="n">
        <x:v>9203.00609857</x:v>
      </x:c>
      <x:c r="I9" s="36" t="n">
        <x:v>11069.666417819</x:v>
      </x:c>
      <x:c r="J9" s="2"/>
    </x:row>
    <x:row r="10" ht="15" hidden="0" customHeight="1">
      <x:c r="C10" s="2" t="str">
        <x:v>Profit after tax</x:v>
      </x:c>
      <x:c r="D10" s="34" t="str">
        <x:v>VND bn</x:v>
      </x:c>
      <x:c r="E10" s="36" t="n">
        <x:v>4423.745217598</x:v>
      </x:c>
      <x:c r="F10" s="36" t="n">
        <x:v>5349.301099496</x:v>
      </x:c>
      <x:c r="G10" s="36" t="n">
        <x:v>6491.343454469</x:v>
      </x:c>
      <x:c r="H10" s="36" t="n">
        <x:v>7788.049739616</x:v>
      </x:c>
      <x:c r="I10" s="36" t="n">
        <x:v>9427.422530444</x:v>
      </x:c>
      <x:c r="J10" s="2"/>
    </x:row>
    <x:row r="11" ht="15" hidden="0" customHeight="1">
      <x:c r="C11" s="2" t="str">
        <x:v>  Parent profit after tax</x:v>
      </x:c>
      <x:c r="D11" s="34" t="str">
        <x:v>VND bn</x:v>
      </x:c>
      <x:c r="E11" s="36" t="n">
        <x:v>3538.007738822</x:v>
      </x:c>
      <x:c r="F11" s="36" t="n">
        <x:v>4337.411879802</x:v>
      </x:c>
      <x:c r="G11" s="36" t="n">
        <x:v>5310.108591408</x:v>
      </x:c>
      <x:c r="H11" s="36" t="n">
        <x:v>6465.190432622</x:v>
      </x:c>
      <x:c r="I11" s="36" t="n">
        <x:v>7856.767812178</x:v>
      </x:c>
      <x:c r="J11" s="2"/>
    </x:row>
    <x:row r="12" ht="15" hidden="0" customHeight="1">
      <x:c r="C12" s="2" t="str">
        <x:v>  NCI profit after tax</x:v>
      </x:c>
      <x:c r="D12" s="34" t="str">
        <x:v>VND bn</x:v>
      </x:c>
      <x:c r="E12" s="36" t="n">
        <x:v>885.737478776</x:v>
      </x:c>
      <x:c r="F12" s="36" t="n">
        <x:v>1011.889219694</x:v>
      </x:c>
      <x:c r="G12" s="36" t="n">
        <x:v>1181.234863061</x:v>
      </x:c>
      <x:c r="H12" s="36" t="n">
        <x:v>1322.859306994</x:v>
      </x:c>
      <x:c r="I12" s="36" t="n">
        <x:v>1570.654718266</x:v>
      </x:c>
      <x:c r="J12" s="2"/>
    </x:row>
    <x:row r="13" ht="15" hidden="0" customHeight="1">
      <x:c r="C13" s="2" t="str">
        <x:v>Operating cash flow</x:v>
      </x:c>
      <x:c r="D13" s="34" t="str">
        <x:v>VND bn</x:v>
      </x:c>
      <x:c r="E13" s="36" t="n">
        <x:v>6339.679033336</x:v>
      </x:c>
      <x:c r="F13" s="36" t="n">
        <x:v>5839.693554727</x:v>
      </x:c>
      <x:c r="G13" s="36" t="n">
        <x:v>5053.8317567</x:v>
      </x:c>
      <x:c r="H13" s="36" t="n">
        <x:v>9517.095698405</x:v>
      </x:c>
      <x:c r="I13" s="36" t="n">
        <x:v>11703.777188868</x:v>
      </x:c>
      <x:c r="J13" s="2"/>
    </x:row>
    <x:row r="14" ht="15" hidden="0" customHeight="1">
      <x:c r="C14" s="2" t="str">
        <x:v>Capital expenditure purchases</x:v>
      </x:c>
      <x:c r="D14" s="34" t="str">
        <x:v>VND bn</x:v>
      </x:c>
      <x:c r="E14" s="36" t="n">
        <x:v>3017.645357713</x:v>
      </x:c>
      <x:c r="F14" s="36" t="n">
        <x:v>2911.001172725</x:v>
      </x:c>
      <x:c r="G14" s="36" t="n">
        <x:v>3215.243200871</x:v>
      </x:c>
      <x:c r="H14" s="36" t="n">
        <x:v>3978.252082224</x:v>
      </x:c>
      <x:c r="I14" s="36" t="n">
        <x:v>3275.312325702</x:v>
      </x:c>
      <x:c r="J14" s="2"/>
    </x:row>
    <x:row r="15" ht="15" hidden="0" customHeight="1">
      <x:c r="C15" s="2" t="str">
        <x:v>Dividends paid</x:v>
      </x:c>
      <x:c r="D15" s="34" t="str">
        <x:v>VND bn</x:v>
      </x:c>
      <x:c r="E15" s="36" t="n">
        <x:v>1899.079382925</x:v>
      </x:c>
      <x:c r="F15" s="36" t="n">
        <x:v>2254.183945975</x:v>
      </x:c>
      <x:c r="G15" s="36" t="n">
        <x:v>2222.134795995</x:v>
      </x:c>
      <x:c r="H15" s="36" t="n">
        <x:v>2930.628448135</x:v>
      </x:c>
      <x:c r="I15" s="36" t="n">
        <x:v>3291.859792121</x:v>
      </x:c>
      <x:c r="J15" s="2"/>
    </x:row>
    <x:row r="16" ht="15" hidden="0" customHeight="1">
      <x:c r="C16" s="2" t="str">
        <x:v>Cash and equivalents</x:v>
      </x:c>
      <x:c r="D16" s="34" t="str">
        <x:v>VND bn</x:v>
      </x:c>
      <x:c r="E16" s="36" t="n">
        <x:v>4686.191374038</x:v>
      </x:c>
      <x:c r="F16" s="36" t="n">
        <x:v>5417.845293242</x:v>
      </x:c>
      <x:c r="G16" s="36" t="n">
        <x:v>6440.177174322</x:v>
      </x:c>
      <x:c r="H16" s="36" t="n">
        <x:v>8279.156683221</x:v>
      </x:c>
      <x:c r="I16" s="36" t="n">
        <x:v>9315.440438884</x:v>
      </x:c>
      <x:c r="J16" s="2"/>
    </x:row>
    <x:row r="17" ht="15" hidden="0" customHeight="1">
      <x:c r="C17" s="2" t="str">
        <x:v>Short-term investments</x:v>
      </x:c>
      <x:c r="D17" s="34" t="str">
        <x:v>VND bn</x:v>
      </x:c>
      <x:c r="E17" s="36" t="n">
        <x:v>12435.918124269</x:v>
      </x:c>
      <x:c r="F17" s="36" t="n">
        <x:v>20730.720735456</x:v>
      </x:c>
      <x:c r="G17" s="36" t="n">
        <x:v>13047.23413195</x:v>
      </x:c>
      <x:c r="H17" s="36" t="n">
        <x:v>16104.20535801</x:v>
      </x:c>
      <x:c r="I17" s="36" t="n">
        <x:v>21785.213686808</x:v>
      </x:c>
      <x:c r="J17" s="2"/>
    </x:row>
    <x:row r="18" ht="15" hidden="0" customHeight="1">
      <x:c r="C18" s="2" t="str">
        <x:v>Trade receivables, net</x:v>
      </x:c>
      <x:c r="D18" s="34" t="str">
        <x:v>VND bn</x:v>
      </x:c>
      <x:c r="E18" s="36" t="n">
        <x:v>5564.392191491</x:v>
      </x:c>
      <x:c r="F18" s="36" t="n">
        <x:v>6211.956510246</x:v>
      </x:c>
      <x:c r="G18" s="36" t="n">
        <x:v>7990.076948983</x:v>
      </x:c>
      <x:c r="H18" s="36" t="n">
        <x:v>9057.647206985</x:v>
      </x:c>
      <x:c r="I18" s="36" t="n">
        <x:v>10537.01911338</x:v>
      </x:c>
      <x:c r="J18" s="2"/>
    </x:row>
    <x:row r="19" ht="15" hidden="0" customHeight="1">
      <x:c r="C19" s="2" t="str">
        <x:v>Inventories, net</x:v>
      </x:c>
      <x:c r="D19" s="34" t="str">
        <x:v>VND bn</x:v>
      </x:c>
      <x:c r="E19" s="36" t="n">
        <x:v>1290.091524352</x:v>
      </x:c>
      <x:c r="F19" s="36" t="n">
        <x:v>1507.342901619</x:v>
      </x:c>
      <x:c r="G19" s="36" t="n">
        <x:v>1965.787736563</x:v>
      </x:c>
      <x:c r="H19" s="36" t="n">
        <x:v>1593.411075233</x:v>
      </x:c>
      <x:c r="I19" s="36" t="n">
        <x:v>1856.75694903</x:v>
      </x:c>
      <x:c r="J19" s="2"/>
    </x:row>
    <x:row r="20" ht="15" hidden="0" customHeight="1">
      <x:c r="C20" s="2" t="str">
        <x:v>Total assets</x:v>
      </x:c>
      <x:c r="D20" s="34" t="str">
        <x:v>VND bn</x:v>
      </x:c>
      <x:c r="E20" s="36" t="n">
        <x:v>41734.323235194</x:v>
      </x:c>
      <x:c r="F20" s="36" t="n">
        <x:v>53697.940895875</x:v>
      </x:c>
      <x:c r="G20" s="36" t="n">
        <x:v>51650.40373513</x:v>
      </x:c>
      <x:c r="H20" s="36" t="n">
        <x:v>60282.827532899</x:v>
      </x:c>
      <x:c r="I20" s="36" t="n">
        <x:v>71999.99567862</x:v>
      </x:c>
      <x:c r="J20" s="2"/>
    </x:row>
    <x:row r="21" ht="15" hidden="0" customHeight="1">
      <x:c r="C21" s="2" t="str">
        <x:v>Total liabilities</x:v>
      </x:c>
      <x:c r="D21" s="34" t="str">
        <x:v>VND bn</x:v>
      </x:c>
      <x:c r="E21" s="36" t="n">
        <x:v>23128.655834466</x:v>
      </x:c>
      <x:c r="F21" s="36" t="n">
        <x:v>32279.955665838</x:v>
      </x:c>
      <x:c r="G21" s="36" t="n">
        <x:v>26294.279047318</x:v>
      </x:c>
      <x:c r="H21" s="36" t="n">
        <x:v>30349.816316666</x:v>
      </x:c>
      <x:c r="I21" s="36" t="n">
        <x:v>36272.45557382</x:v>
      </x:c>
      <x:c r="J21" s="2"/>
    </x:row>
    <x:row r="22" ht="15" hidden="0" customHeight="1">
      <x:c r="C22" s="2" t="str">
        <x:v>Short-term borrowings</x:v>
      </x:c>
      <x:c r="D22" s="34" t="str">
        <x:v>VND bn</x:v>
      </x:c>
      <x:c r="E22" s="36" t="n">
        <x:v>12062.41019274</x:v>
      </x:c>
      <x:c r="F22" s="36" t="n">
        <x:v>17799.441187777</x:v>
      </x:c>
      <x:c r="G22" s="36" t="n">
        <x:v>10904.344845014</x:v>
      </x:c>
      <x:c r="H22" s="36" t="n">
        <x:v>13837.894474107</x:v>
      </x:c>
      <x:c r="I22" s="36" t="n">
        <x:v>14446.238451323</x:v>
      </x:c>
      <x:c r="J22" s="2"/>
    </x:row>
    <x:row r="23" ht="15" hidden="0" customHeight="1">
      <x:c r="C23" s="2" t="str">
        <x:v>Long-term borrowings</x:v>
      </x:c>
      <x:c r="D23" s="34" t="str">
        <x:v>VND bn</x:v>
      </x:c>
      <x:c r="E23" s="36" t="n">
        <x:v>677.796913413</x:v>
      </x:c>
      <x:c r="F23" s="36" t="n">
        <x:v>2296.308493046</x:v>
      </x:c>
      <x:c r="G23" s="36" t="n">
        <x:v>1477.83033399</x:v>
      </x:c>
      <x:c r="H23" s="36" t="n">
        <x:v>208.074996962</x:v>
      </x:c>
      <x:c r="I23" s="36" t="n">
        <x:v>501.115537075</x:v>
      </x:c>
      <x:c r="J23" s="2"/>
    </x:row>
    <x:row r="24" ht="15" hidden="0" customHeight="1">
      <x:c r="C24" s="2" t="str">
        <x:v>Total owners' equity</x:v>
      </x:c>
      <x:c r="D24" s="34" t="str">
        <x:v>VND bn</x:v>
      </x:c>
      <x:c r="E24" s="36" t="n">
        <x:v>18605.667400728</x:v>
      </x:c>
      <x:c r="F24" s="36" t="n">
        <x:v>21417.985230037</x:v>
      </x:c>
      <x:c r="G24" s="36" t="n">
        <x:v>25356.124687812</x:v>
      </x:c>
      <x:c r="H24" s="36" t="n">
        <x:v>29933.011216233</x:v>
      </x:c>
      <x:c r="I24" s="36" t="n">
        <x:v>35727.5401048</x:v>
      </x:c>
      <x:c r="J24" s="2"/>
    </x:row>
    <x:row r="25" ht="15" hidden="0" customHeight="1">
      <x:c r="C25" s="2" t="str">
        <x:v>  NCI equity</x:v>
      </x:c>
      <x:c r="D25" s="34" t="str">
        <x:v>VND bn</x:v>
      </x:c>
      <x:c r="E25" s="36" t="n">
        <x:v>2860.094124424</x:v>
      </x:c>
      <x:c r="F25" s="36" t="n">
        <x:v>3477.041138837</x:v>
      </x:c>
      <x:c r="G25" s="36" t="n">
        <x:v>4309.656273198</x:v>
      </x:c>
      <x:c r="H25" s="36" t="n">
        <x:v>4958.854855687</x:v>
      </x:c>
      <x:c r="I25" s="36" t="n">
        <x:v>5933.309621004</x:v>
      </x:c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</x:row>
    <x:row r="28" ht="15" hidden="0" customHeight="1">
      <x:c r="C28" s="44" t="str">
        <x:v>Reconciliation checks (VND billion)</x:v>
      </x:c>
      <x:c r="D28" s="45" t="str">
        <x:v>Reconciliation checks (VND billion)</x:v>
      </x:c>
      <x:c r="E28" s="45" t="str">
        <x:v>Reconciliation checks (VND billion)</x:v>
      </x:c>
      <x:c r="F28" s="45" t="str">
        <x:v>Reconciliation checks (VND billion)</x:v>
      </x:c>
      <x:c r="G28" s="45" t="str">
        <x:v>Reconciliation checks (VND billion)</x:v>
      </x:c>
      <x:c r="H28" s="45" t="str">
        <x:v>Reconciliation checks (VND billion)</x:v>
      </x:c>
      <x:c r="I28" s="46" t="str">
        <x:v>Reconciliation checks (VND billion)</x:v>
      </x:c>
      <x:c r="J28" s="2"/>
    </x:row>
    <x:row r="29" ht="15" hidden="0" customHeight="1">
      <x:c r="C29" s="21" t="str">
        <x:v>Check</x:v>
      </x:c>
      <x:c r="D29" s="22" t="str">
        <x:v>Tolerance</x:v>
      </x:c>
      <x:c r="E29" s="22" t="n">
        <x:v>2020</x:v>
      </x:c>
      <x:c r="F29" s="22" t="n">
        <x:v>2021</x:v>
      </x:c>
      <x:c r="G29" s="22" t="n">
        <x:v>2022</x:v>
      </x:c>
      <x:c r="H29" s="22" t="n">
        <x:v>2023</x:v>
      </x:c>
      <x:c r="I29" s="23" t="n">
        <x:v>2024</x:v>
      </x:c>
      <x:c r="J29" s="2"/>
    </x:row>
    <x:row r="30" ht="15" hidden="0" customHeight="1">
      <x:c r="C30" s="2" t="str">
        <x:v>Assets - liabilities - equity</x:v>
      </x:c>
      <x:c r="D30" s="2" t="n">
        <x:v>0.01</x:v>
      </x:c>
      <x:c r="E30" s="47" t="n">
        <x:f>ROUND(E20-E21-E24,2)</x:f>
        <x:v>0</x:v>
      </x:c>
      <x:c r="F30" s="47" t="n">
        <x:f>ROUND(F20-F21-F24,2)</x:f>
        <x:v>0</x:v>
      </x:c>
      <x:c r="G30" s="47" t="n">
        <x:f>ROUND(G20-G21-G24,2)</x:f>
        <x:v>0</x:v>
      </x:c>
      <x:c r="H30" s="47" t="n">
        <x:f>ROUND(H20-H21-H24,2)</x:f>
        <x:v>0</x:v>
      </x:c>
      <x:c r="I30" s="47" t="n">
        <x:f>ROUND(I20-I21-I24,2)</x:f>
        <x:v>0</x:v>
      </x:c>
      <x:c r="J30" s="2"/>
    </x:row>
    <x:row r="31" ht="15" hidden="0" customHeight="1">
      <x:c r="C31" s="2" t="str">
        <x:v>PAT - parent PAT - NCI PAT</x:v>
      </x:c>
      <x:c r="D31" s="2" t="n">
        <x:v>0.01</x:v>
      </x:c>
      <x:c r="E31" s="47" t="n">
        <x:f>ROUND(E10-E11-E12,2)</x:f>
        <x:v>0</x:v>
      </x:c>
      <x:c r="F31" s="47" t="n">
        <x:f>ROUND(F10-F11-F12,2)</x:f>
        <x:v>0</x:v>
      </x:c>
      <x:c r="G31" s="47" t="n">
        <x:f>ROUND(G10-G11-G12,2)</x:f>
        <x:v>0</x:v>
      </x:c>
      <x:c r="H31" s="47" t="n">
        <x:f>ROUND(H10-H11-H12,2)</x:f>
        <x:v>0</x:v>
      </x:c>
      <x:c r="I31" s="47" t="n">
        <x:f>ROUND(I10-I11-I12,2)</x:f>
        <x:v>0</x:v>
      </x:c>
      <x:c r="J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</x:row>
    <x:row r="34" ht="15" hidden="0" customHeight="1">
      <x:c r="C34" s="48" t="str">
        <x:v>Source pages</x:v>
      </x:c>
      <x:c r="D34" s="48" t="str"/>
      <x:c r="E34" s="48" t="str">
        <x:v>fpt_ar_2021 pp. 72-75</x:v>
      </x:c>
      <x:c r="F34" s="48" t="str">
        <x:v>fpt_ar_2021 pp. 72-75</x:v>
      </x:c>
      <x:c r="G34" s="48" t="str">
        <x:v>fpt_ar_2022 pp. 71-74</x:v>
      </x:c>
      <x:c r="H34" s="48" t="str">
        <x:v>fpt_ar_2023 pp. 143-151</x:v>
      </x:c>
      <x:c r="I34" s="48" t="str">
        <x:v>fpt_ar_2024 pp. 146-154</x:v>
      </x:c>
      <x:c r="J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</x:row>
    <x:row r="39" ht="15" hidden="0" customHeight="1">
      <x:c r="C39" s="2"/>
      <x:c r="D39" s="2"/>
      <x:c r="E39" s="2"/>
      <x:c r="F39" s="2"/>
      <x:c r="G39" s="2"/>
      <x:c r="H39" s="2"/>
      <x:c r="I39" s="2"/>
      <x:c r="J39" s="2"/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C28:I28"/>
  </x:mergeCells>
  <x:conditionalFormatting sqref="E30:I31">
    <x:cfRule type="expression" dxfId="0" priority="1">
      <x:formula>ABS(E30)&gt;$D30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29" hidden="0" customWidth="1"/>
    <x:col min="5" max="5" width="2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2" ht="18" hidden="0" customHeight="1">
      <x:c r="C2" s="3" t="str">
        <x:v>FPT 9M2025 operating facts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Issuer-presented YTD values. Do not compare directly with annual figures without seasonality and period alignment.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Period</x:v>
      </x:c>
      <x:c r="D5" s="22" t="str">
        <x:v>Metric</x:v>
      </x:c>
      <x:c r="E5" s="22" t="str">
        <x:v>Segment</x:v>
      </x:c>
      <x:c r="F5" s="22" t="str">
        <x:v>Value</x:v>
      </x:c>
      <x:c r="G5" s="22" t="str">
        <x:v>Unit</x:v>
      </x:c>
      <x:c r="H5" s="22" t="str">
        <x:v>Source</x:v>
      </x:c>
      <x:c r="I5" s="22" t="str">
        <x:v>Page</x:v>
      </x:c>
      <x:c r="J5" s="23" t="str">
        <x:v>Comparison note</x:v>
      </x:c>
    </x:row>
    <x:row r="6" ht="15" hidden="0" customHeight="1">
      <x:c r="C6" s="53" t="n">
        <x:v>45930</x:v>
      </x:c>
      <x:c r="D6" s="2" t="str">
        <x:v>revenue</x:v>
      </x:c>
      <x:c r="E6" s="2" t="str">
        <x:v>group</x:v>
      </x:c>
      <x:c r="F6" s="36" t="n">
        <x:v>49887</x:v>
      </x:c>
      <x:c r="G6" s="2" t="str">
        <x:v>VND_billion</x:v>
      </x:c>
      <x:c r="H6" s="2" t="str">
        <x:v>fpt_earnings_9m2025</x:v>
      </x:c>
      <x:c r="I6" s="2" t="n">
        <x:v>2</x:v>
      </x:c>
      <x:c r="J6" s="2" t="str">
        <x:v>+10.3% YoY</x:v>
      </x:c>
    </x:row>
    <x:row r="7" ht="15" hidden="0" customHeight="1">
      <x:c r="C7" s="53" t="n">
        <x:v>45930</x:v>
      </x:c>
      <x:c r="D7" s="2" t="str">
        <x:v>profit_before_tax</x:v>
      </x:c>
      <x:c r="E7" s="2" t="str">
        <x:v>group</x:v>
      </x:c>
      <x:c r="F7" s="36" t="n">
        <x:v>9540</x:v>
      </x:c>
      <x:c r="G7" s="2" t="str">
        <x:v>VND_billion</x:v>
      </x:c>
      <x:c r="H7" s="2" t="str">
        <x:v>fpt_earnings_9m2025</x:v>
      </x:c>
      <x:c r="I7" s="2" t="n">
        <x:v>2</x:v>
      </x:c>
      <x:c r="J7" s="2" t="str">
        <x:v>+17.6% YoY</x:v>
      </x:c>
    </x:row>
    <x:row r="8" ht="15" hidden="0" customHeight="1">
      <x:c r="C8" s="53" t="n">
        <x:v>45930</x:v>
      </x:c>
      <x:c r="D8" s="2" t="str">
        <x:v>profit_after_tax</x:v>
      </x:c>
      <x:c r="E8" s="2" t="str">
        <x:v>group</x:v>
      </x:c>
      <x:c r="F8" s="36" t="n">
        <x:v>8237</x:v>
      </x:c>
      <x:c r="G8" s="2" t="str">
        <x:v>VND_billion</x:v>
      </x:c>
      <x:c r="H8" s="2" t="str">
        <x:v>fpt_earnings_9m2025</x:v>
      </x:c>
      <x:c r="I8" s="2" t="n">
        <x:v>2</x:v>
      </x:c>
      <x:c r="J8" s="2" t="str">
        <x:v>+18.9% YoY</x:v>
      </x:c>
    </x:row>
    <x:row r="9" ht="15" hidden="0" customHeight="1">
      <x:c r="C9" s="53" t="n">
        <x:v>45930</x:v>
      </x:c>
      <x:c r="D9" s="2" t="str">
        <x:v>parent_profit_after_tax</x:v>
      </x:c>
      <x:c r="E9" s="2" t="str">
        <x:v>group</x:v>
      </x:c>
      <x:c r="F9" s="36" t="n">
        <x:v>6867</x:v>
      </x:c>
      <x:c r="G9" s="2" t="str">
        <x:v>VND_billion</x:v>
      </x:c>
      <x:c r="H9" s="2" t="str">
        <x:v>fpt_earnings_9m2025</x:v>
      </x:c>
      <x:c r="I9" s="2" t="n">
        <x:v>3</x:v>
      </x:c>
      <x:c r="J9" s="2" t="str"/>
    </x:row>
    <x:row r="10" ht="15" hidden="0" customHeight="1">
      <x:c r="C10" s="53" t="n">
        <x:v>45930</x:v>
      </x:c>
      <x:c r="D10" s="2" t="str">
        <x:v>basic_eps</x:v>
      </x:c>
      <x:c r="E10" s="2" t="str">
        <x:v>group</x:v>
      </x:c>
      <x:c r="F10" s="36" t="n">
        <x:v>4043</x:v>
      </x:c>
      <x:c r="G10" s="2" t="str">
        <x:v>VND_per_share</x:v>
      </x:c>
      <x:c r="H10" s="2" t="str">
        <x:v>fpt_earnings_9m2025</x:v>
      </x:c>
      <x:c r="I10" s="2" t="n">
        <x:v>3</x:v>
      </x:c>
      <x:c r="J10" s="2" t="str"/>
    </x:row>
    <x:row r="11" ht="15" hidden="0" customHeight="1">
      <x:c r="C11" s="53" t="n">
        <x:v>45930</x:v>
      </x:c>
      <x:c r="D11" s="2" t="str">
        <x:v>revenue</x:v>
      </x:c>
      <x:c r="E11" s="2" t="str">
        <x:v>technology_sector</x:v>
      </x:c>
      <x:c r="F11" s="36" t="n">
        <x:v>30949</x:v>
      </x:c>
      <x:c r="G11" s="2" t="str">
        <x:v>VND_billion</x:v>
      </x:c>
      <x:c r="H11" s="2" t="str">
        <x:v>fpt_earnings_9m2025</x:v>
      </x:c>
      <x:c r="I11" s="2" t="n">
        <x:v>4</x:v>
      </x:c>
      <x:c r="J11" s="2" t="str">
        <x:v>+13.7% YoY</x:v>
      </x:c>
    </x:row>
    <x:row r="12" ht="15" hidden="0" customHeight="1">
      <x:c r="C12" s="53" t="n">
        <x:v>45930</x:v>
      </x:c>
      <x:c r="D12" s="2" t="str">
        <x:v>profit_before_tax</x:v>
      </x:c>
      <x:c r="E12" s="2" t="str">
        <x:v>technology_sector</x:v>
      </x:c>
      <x:c r="F12" s="36" t="n">
        <x:v>4333</x:v>
      </x:c>
      <x:c r="G12" s="2" t="str">
        <x:v>VND_billion</x:v>
      </x:c>
      <x:c r="H12" s="2" t="str">
        <x:v>fpt_earnings_9m2025</x:v>
      </x:c>
      <x:c r="I12" s="2" t="n">
        <x:v>4</x:v>
      </x:c>
      <x:c r="J12" s="2" t="str">
        <x:v>+10.7% YoY</x:v>
      </x:c>
    </x:row>
    <x:row r="13" ht="15" hidden="0" customHeight="1">
      <x:c r="C13" s="53" t="n">
        <x:v>45930</x:v>
      </x:c>
      <x:c r="D13" s="2" t="str">
        <x:v>revenue</x:v>
      </x:c>
      <x:c r="E13" s="2" t="str">
        <x:v>telecommunications_sector</x:v>
      </x:c>
      <x:c r="F13" s="36" t="n">
        <x:v>14287</x:v>
      </x:c>
      <x:c r="G13" s="2" t="str">
        <x:v>VND_billion</x:v>
      </x:c>
      <x:c r="H13" s="2" t="str">
        <x:v>fpt_earnings_9m2025</x:v>
      </x:c>
      <x:c r="I13" s="2" t="n">
        <x:v>4</x:v>
      </x:c>
      <x:c r="J13" s="2" t="str">
        <x:v>+11.6% YoY</x:v>
      </x:c>
    </x:row>
    <x:row r="14" ht="15" hidden="0" customHeight="1">
      <x:c r="C14" s="53" t="n">
        <x:v>45930</x:v>
      </x:c>
      <x:c r="D14" s="2" t="str">
        <x:v>profit_before_tax</x:v>
      </x:c>
      <x:c r="E14" s="2" t="str">
        <x:v>telecommunications_sector</x:v>
      </x:c>
      <x:c r="F14" s="36" t="n">
        <x:v>3228</x:v>
      </x:c>
      <x:c r="G14" s="2" t="str">
        <x:v>VND_billion</x:v>
      </x:c>
      <x:c r="H14" s="2" t="str">
        <x:v>fpt_earnings_9m2025</x:v>
      </x:c>
      <x:c r="I14" s="2" t="n">
        <x:v>4</x:v>
      </x:c>
      <x:c r="J14" s="2" t="str">
        <x:v>+21.0% YoY</x:v>
      </x:c>
    </x:row>
    <x:row r="15" ht="15" hidden="0" customHeight="1">
      <x:c r="C15" s="53" t="n">
        <x:v>45930</x:v>
      </x:c>
      <x:c r="D15" s="2" t="str">
        <x:v>revenue</x:v>
      </x:c>
      <x:c r="E15" s="2" t="str">
        <x:v>education_investment_other</x:v>
      </x:c>
      <x:c r="F15" s="36" t="n">
        <x:v>4651</x:v>
      </x:c>
      <x:c r="G15" s="2" t="str">
        <x:v>VND_billion</x:v>
      </x:c>
      <x:c r="H15" s="2" t="str">
        <x:v>fpt_earnings_9m2025</x:v>
      </x:c>
      <x:c r="I15" s="2" t="n">
        <x:v>4</x:v>
      </x:c>
      <x:c r="J15" s="2" t="str">
        <x:v>+3.9% YoY</x:v>
      </x:c>
    </x:row>
    <x:row r="16" ht="15" hidden="0" customHeight="1">
      <x:c r="C16" s="53" t="n">
        <x:v>45930</x:v>
      </x:c>
      <x:c r="D16" s="2" t="str">
        <x:v>profit_before_tax</x:v>
      </x:c>
      <x:c r="E16" s="2" t="str">
        <x:v>education_investment_other</x:v>
      </x:c>
      <x:c r="F16" s="36" t="n">
        <x:v>1979</x:v>
      </x:c>
      <x:c r="G16" s="2" t="str">
        <x:v>VND_billion</x:v>
      </x:c>
      <x:c r="H16" s="2" t="str">
        <x:v>fpt_earnings_9m2025</x:v>
      </x:c>
      <x:c r="I16" s="2" t="n">
        <x:v>4</x:v>
      </x:c>
      <x:c r="J16" s="2" t="str">
        <x:v>+21.2% YoY</x:v>
      </x:c>
    </x:row>
    <x:row r="17" ht="15" hidden="0" customHeight="1">
      <x:c r="C17" s="53" t="n">
        <x:v>45930</x:v>
      </x:c>
      <x:c r="D17" s="2" t="str">
        <x:v>revenue</x:v>
      </x:c>
      <x:c r="E17" s="2" t="str">
        <x:v>global_it_services</x:v>
      </x:c>
      <x:c r="F17" s="36" t="n">
        <x:v>25574</x:v>
      </x:c>
      <x:c r="G17" s="2" t="str">
        <x:v>VND_billion</x:v>
      </x:c>
      <x:c r="H17" s="2" t="str">
        <x:v>fpt_earnings_9m2025</x:v>
      </x:c>
      <x:c r="I17" s="2" t="n">
        <x:v>5</x:v>
      </x:c>
      <x:c r="J17" s="2" t="str">
        <x:v>+12.8% YoY</x:v>
      </x:c>
    </x:row>
    <x:row r="18" ht="15" hidden="0" customHeight="1">
      <x:c r="C18" s="53" t="n">
        <x:v>45930</x:v>
      </x:c>
      <x:c r="D18" s="2" t="str">
        <x:v>profit_before_tax</x:v>
      </x:c>
      <x:c r="E18" s="2" t="str">
        <x:v>global_it_services</x:v>
      </x:c>
      <x:c r="F18" s="36" t="n">
        <x:v>4073</x:v>
      </x:c>
      <x:c r="G18" s="2" t="str">
        <x:v>VND_billion</x:v>
      </x:c>
      <x:c r="H18" s="2" t="str">
        <x:v>fpt_earnings_9m2025</x:v>
      </x:c>
      <x:c r="I18" s="2" t="n">
        <x:v>5</x:v>
      </x:c>
      <x:c r="J18" s="2" t="str">
        <x:v>+12.7% YoY</x:v>
      </x:c>
    </x:row>
    <x:row r="19" ht="15" hidden="0" customHeight="1">
      <x:c r="C19" s="53" t="n">
        <x:v>45930</x:v>
      </x:c>
      <x:c r="D19" s="2" t="str">
        <x:v>revenue</x:v>
      </x:c>
      <x:c r="E19" s="2" t="str">
        <x:v>domestic_it_services</x:v>
      </x:c>
      <x:c r="F19" s="36" t="n">
        <x:v>5376</x:v>
      </x:c>
      <x:c r="G19" s="2" t="str">
        <x:v>VND_billion</x:v>
      </x:c>
      <x:c r="H19" s="2" t="str">
        <x:v>fpt_earnings_9m2025</x:v>
      </x:c>
      <x:c r="I19" s="2" t="n">
        <x:v>5</x:v>
      </x:c>
      <x:c r="J19" s="2" t="str">
        <x:v>+1.5% YoY</x:v>
      </x:c>
    </x:row>
    <x:row r="20" ht="15" hidden="0" customHeight="1">
      <x:c r="C20" s="53" t="n">
        <x:v>45930</x:v>
      </x:c>
      <x:c r="D20" s="2" t="str">
        <x:v>profit_before_tax</x:v>
      </x:c>
      <x:c r="E20" s="2" t="str">
        <x:v>domestic_it_services</x:v>
      </x:c>
      <x:c r="F20" s="36" t="n">
        <x:v>260</x:v>
      </x:c>
      <x:c r="G20" s="2" t="str">
        <x:v>VND_billion</x:v>
      </x:c>
      <x:c r="H20" s="2" t="str">
        <x:v>fpt_earnings_9m2025</x:v>
      </x:c>
      <x:c r="I20" s="2" t="n">
        <x:v>5</x:v>
      </x:c>
      <x:c r="J20" s="2" t="str">
        <x:v>+31.9% YoY</x:v>
      </x:c>
    </x:row>
    <x:row r="21" ht="15" hidden="0" customHeight="1">
      <x:c r="C21" s="53" t="n">
        <x:v>45930</x:v>
      </x:c>
      <x:c r="D21" s="2" t="str">
        <x:v>revenue</x:v>
      </x:c>
      <x:c r="E21" s="2" t="str">
        <x:v>telecom_services</x:v>
      </x:c>
      <x:c r="F21" s="36" t="n">
        <x:v>13738</x:v>
      </x:c>
      <x:c r="G21" s="2" t="str">
        <x:v>VND_billion</x:v>
      </x:c>
      <x:c r="H21" s="2" t="str">
        <x:v>fpt_earnings_9m2025</x:v>
      </x:c>
      <x:c r="I21" s="2" t="n">
        <x:v>5</x:v>
      </x:c>
      <x:c r="J21" s="2" t="str">
        <x:v>+11.5% YoY</x:v>
      </x:c>
    </x:row>
    <x:row r="22" ht="15" hidden="0" customHeight="1">
      <x:c r="C22" s="53" t="n">
        <x:v>45930</x:v>
      </x:c>
      <x:c r="D22" s="2" t="str">
        <x:v>profit_before_tax</x:v>
      </x:c>
      <x:c r="E22" s="2" t="str">
        <x:v>telecom_services</x:v>
      </x:c>
      <x:c r="F22" s="36" t="n">
        <x:v>3091</x:v>
      </x:c>
      <x:c r="G22" s="2" t="str">
        <x:v>VND_billion</x:v>
      </x:c>
      <x:c r="H22" s="2" t="str">
        <x:v>fpt_earnings_9m2025</x:v>
      </x:c>
      <x:c r="I22" s="2" t="n">
        <x:v>5</x:v>
      </x:c>
      <x:c r="J22" s="2" t="str">
        <x:v>+21.3% YoY</x:v>
      </x:c>
    </x:row>
    <x:row r="23" ht="15" hidden="0" customHeight="1">
      <x:c r="C23" s="53" t="n">
        <x:v>45930</x:v>
      </x:c>
      <x:c r="D23" s="2" t="str">
        <x:v>revenue</x:v>
      </x:c>
      <x:c r="E23" s="2" t="str">
        <x:v>online_advertising</x:v>
      </x:c>
      <x:c r="F23" s="36" t="n">
        <x:v>549</x:v>
      </x:c>
      <x:c r="G23" s="2" t="str">
        <x:v>VND_billion</x:v>
      </x:c>
      <x:c r="H23" s="2" t="str">
        <x:v>fpt_earnings_9m2025</x:v>
      </x:c>
      <x:c r="I23" s="2" t="n">
        <x:v>5</x:v>
      </x:c>
      <x:c r="J23" s="2" t="str">
        <x:v>+14.4% YoY</x:v>
      </x:c>
    </x:row>
    <x:row r="24" ht="15" hidden="0" customHeight="1">
      <x:c r="C24" s="53" t="n">
        <x:v>45930</x:v>
      </x:c>
      <x:c r="D24" s="2" t="str">
        <x:v>profit_before_tax</x:v>
      </x:c>
      <x:c r="E24" s="2" t="str">
        <x:v>online_advertising</x:v>
      </x:c>
      <x:c r="F24" s="36" t="n">
        <x:v>137</x:v>
      </x:c>
      <x:c r="G24" s="2" t="str">
        <x:v>VND_billion</x:v>
      </x:c>
      <x:c r="H24" s="2" t="str">
        <x:v>fpt_earnings_9m2025</x:v>
      </x:c>
      <x:c r="I24" s="2" t="n">
        <x:v>5</x:v>
      </x:c>
      <x:c r="J24" s="2" t="str">
        <x:v>+14.8% YoY</x:v>
      </x:c>
    </x:row>
    <x:row r="25" ht="15" hidden="0" customHeight="1">
      <x:c r="C25" s="53" t="n">
        <x:v>45930</x:v>
      </x:c>
      <x:c r="D25" s="2" t="str">
        <x:v>revenue</x:v>
      </x:c>
      <x:c r="E25" s="2" t="str">
        <x:v>digital_transformation_global_it</x:v>
      </x:c>
      <x:c r="F25" s="36" t="n">
        <x:v>12387</x:v>
      </x:c>
      <x:c r="G25" s="2" t="str">
        <x:v>VND_billion</x:v>
      </x:c>
      <x:c r="H25" s="2" t="str">
        <x:v>fpt_earnings_9m2025</x:v>
      </x:c>
      <x:c r="I25" s="2" t="n">
        <x:v>6</x:v>
      </x:c>
      <x:c r="J25" s="2" t="str">
        <x:v>+19.0% YoY</x:v>
      </x:c>
    </x:row>
    <x:row r="26" ht="15" hidden="0" customHeight="1">
      <x:c r="C26" s="53" t="n">
        <x:v>45930</x:v>
      </x:c>
      <x:c r="D26" s="2" t="str">
        <x:v>revenue</x:v>
      </x:c>
      <x:c r="E26" s="2" t="str">
        <x:v>global_it_japan</x:v>
      </x:c>
      <x:c r="F26" s="36" t="n">
        <x:v>11264</x:v>
      </x:c>
      <x:c r="G26" s="2" t="str">
        <x:v>VND_billion</x:v>
      </x:c>
      <x:c r="H26" s="2" t="str">
        <x:v>fpt_earnings_9m2025</x:v>
      </x:c>
      <x:c r="I26" s="2" t="n">
        <x:v>6</x:v>
      </x:c>
      <x:c r="J26" s="2" t="str">
        <x:v>+26.3% VND-based; +23.2% JPY-based</x:v>
      </x:c>
    </x:row>
    <x:row r="27" ht="15" hidden="0" customHeight="1">
      <x:c r="C27" s="53" t="n">
        <x:v>45930</x:v>
      </x:c>
      <x:c r="D27" s="2" t="str">
        <x:v>revenue</x:v>
      </x:c>
      <x:c r="E27" s="2" t="str">
        <x:v>global_it_us</x:v>
      </x:c>
      <x:c r="F27" s="36" t="n">
        <x:v>6087</x:v>
      </x:c>
      <x:c r="G27" s="2" t="str">
        <x:v>VND_billion</x:v>
      </x:c>
      <x:c r="H27" s="2" t="str">
        <x:v>fpt_earnings_9m2025</x:v>
      </x:c>
      <x:c r="I27" s="2" t="n">
        <x:v>6</x:v>
      </x:c>
      <x:c r="J27" s="2" t="str">
        <x:v>+7.5% YoY</x:v>
      </x:c>
    </x:row>
    <x:row r="28" ht="15" hidden="0" customHeight="1">
      <x:c r="C28" s="53" t="n">
        <x:v>45930</x:v>
      </x:c>
      <x:c r="D28" s="2" t="str">
        <x:v>revenue</x:v>
      </x:c>
      <x:c r="E28" s="2" t="str">
        <x:v>global_it_eu</x:v>
      </x:c>
      <x:c r="F28" s="36" t="n">
        <x:v>2528</x:v>
      </x:c>
      <x:c r="G28" s="2" t="str">
        <x:v>VND_billion</x:v>
      </x:c>
      <x:c r="H28" s="2" t="str">
        <x:v>fpt_earnings_9m2025</x:v>
      </x:c>
      <x:c r="I28" s="2" t="n">
        <x:v>6</x:v>
      </x:c>
      <x:c r="J28" s="2" t="str">
        <x:v>+30.8% YoY</x:v>
      </x:c>
    </x:row>
    <x:row r="29" ht="15" hidden="0" customHeight="1">
      <x:c r="C29" s="53" t="n">
        <x:v>45930</x:v>
      </x:c>
      <x:c r="D29" s="2" t="str">
        <x:v>revenue</x:v>
      </x:c>
      <x:c r="E29" s="2" t="str">
        <x:v>global_it_apac</x:v>
      </x:c>
      <x:c r="F29" s="36" t="n">
        <x:v>5694</x:v>
      </x:c>
      <x:c r="G29" s="2" t="str">
        <x:v>VND_billion</x:v>
      </x:c>
      <x:c r="H29" s="2" t="str">
        <x:v>fpt_earnings_9m2025</x:v>
      </x:c>
      <x:c r="I29" s="2" t="n">
        <x:v>6</x:v>
      </x:c>
      <x:c r="J29" s="2" t="str">
        <x:v>-7.5% YoY</x:v>
      </x:c>
    </x:row>
    <x:row r="30" ht="15" hidden="0" customHeight="1">
      <x:c r="C30" s="53" t="n">
        <x:v>45930</x:v>
      </x:c>
      <x:c r="D30" s="2" t="str">
        <x:v>signed_revenue</x:v>
      </x:c>
      <x:c r="E30" s="2" t="str">
        <x:v>global_it_services</x:v>
      </x:c>
      <x:c r="F30" s="36" t="n">
        <x:v>29363</x:v>
      </x:c>
      <x:c r="G30" s="2" t="str">
        <x:v>VND_billion</x:v>
      </x:c>
      <x:c r="H30" s="2" t="str">
        <x:v>fpt_earnings_9m2025</x:v>
      </x:c>
      <x:c r="I30" s="2" t="n">
        <x:v>7</x:v>
      </x:c>
      <x:c r="J30" s="2" t="str">
        <x:v>+14.4% YoY</x:v>
      </x:c>
    </x:row>
    <x:row r="31" ht="15" hidden="0" customHeight="1">
      <x:c r="C31" s="53" t="n">
        <x:v>45930</x:v>
      </x:c>
      <x:c r="D31" s="2" t="str">
        <x:v>client_count_revenue_ge_500k_usd</x:v>
      </x:c>
      <x:c r="E31" s="2" t="str">
        <x:v>global_it_services</x:v>
      </x:c>
      <x:c r="F31" s="36" t="n">
        <x:v>349</x:v>
      </x:c>
      <x:c r="G31" s="2" t="str">
        <x:v>count</x:v>
      </x:c>
      <x:c r="H31" s="2" t="str">
        <x:v>fpt_earnings_9m2025</x:v>
      </x:c>
      <x:c r="I31" s="2" t="n">
        <x:v>7</x:v>
      </x:c>
      <x:c r="J31" s="2" t="str">
        <x:v>+2.6% YoY</x:v>
      </x:c>
    </x:row>
    <x:row r="32" ht="15" hidden="0" customHeight="1">
      <x:c r="C32" s="53" t="n">
        <x:v>45930</x:v>
      </x:c>
      <x:c r="D32" s="2" t="str">
        <x:v>client_count_revenue_ge_1m_usd</x:v>
      </x:c>
      <x:c r="E32" s="2" t="str">
        <x:v>global_it_services</x:v>
      </x:c>
      <x:c r="F32" s="36" t="n">
        <x:v>220</x:v>
      </x:c>
      <x:c r="G32" s="2" t="str">
        <x:v>count</x:v>
      </x:c>
      <x:c r="H32" s="2" t="str">
        <x:v>fpt_earnings_9m2025</x:v>
      </x:c>
      <x:c r="I32" s="2" t="n">
        <x:v>7</x:v>
      </x:c>
      <x:c r="J32" s="2" t="str">
        <x:v>+11.1% YoY</x:v>
      </x:c>
    </x:row>
    <x:row r="33" ht="15" hidden="0" customHeight="1">
      <x:c r="C33" s="53" t="n">
        <x:v>45930</x:v>
      </x:c>
      <x:c r="D33" s="2" t="str">
        <x:v>deal_count_500k_to_1m_usd</x:v>
      </x:c>
      <x:c r="E33" s="2" t="str">
        <x:v>global_it_services</x:v>
      </x:c>
      <x:c r="F33" s="36" t="n">
        <x:v>172</x:v>
      </x:c>
      <x:c r="G33" s="2" t="str">
        <x:v>count</x:v>
      </x:c>
      <x:c r="H33" s="2" t="str">
        <x:v>fpt_earnings_9m2025</x:v>
      </x:c>
      <x:c r="I33" s="2" t="n">
        <x:v>7</x:v>
      </x:c>
      <x:c r="J33" s="2" t="str">
        <x:v>+18% YoY; report calls these semi-mega deals</x:v>
      </x:c>
    </x:row>
    <x:row r="34" ht="15" hidden="0" customHeight="1">
      <x:c r="C34" s="53" t="n">
        <x:v>45930</x:v>
      </x:c>
      <x:c r="D34" s="2" t="str">
        <x:v>deal_count_1m_to_10m_usd</x:v>
      </x:c>
      <x:c r="E34" s="2" t="str">
        <x:v>global_it_services</x:v>
      </x:c>
      <x:c r="F34" s="36" t="n">
        <x:v>126</x:v>
      </x:c>
      <x:c r="G34" s="2" t="str">
        <x:v>count</x:v>
      </x:c>
      <x:c r="H34" s="2" t="str">
        <x:v>fpt_earnings_9m2025</x:v>
      </x:c>
      <x:c r="I34" s="2" t="n">
        <x:v>7</x:v>
      </x:c>
      <x:c r="J34" s="2" t="str">
        <x:v>-22% YoY; report calls these mega deals</x:v>
      </x:c>
    </x:row>
    <x:row r="35" ht="15" hidden="0" customHeight="1">
      <x:c r="C35" s="53" t="n">
        <x:v>45930</x:v>
      </x:c>
      <x:c r="D35" s="2" t="str">
        <x:v>deal_count_ge_10m_usd</x:v>
      </x:c>
      <x:c r="E35" s="2" t="str">
        <x:v>global_it_services</x:v>
      </x:c>
      <x:c r="F35" s="36" t="n">
        <x:v>19</x:v>
      </x:c>
      <x:c r="G35" s="2" t="str">
        <x:v>count</x:v>
      </x:c>
      <x:c r="H35" s="2" t="str">
        <x:v>fpt_earnings_9m2025</x:v>
      </x:c>
      <x:c r="I35" s="2" t="n">
        <x:v>7</x:v>
      </x:c>
      <x:c r="J35" s="2" t="str">
        <x:v>+90% YoY</x:v>
      </x:c>
    </x:row>
    <x:row r="36" ht="15" hidden="0" customHeight="1">
      <x:c r="C36" s="53" t="n">
        <x:v>45930</x:v>
      </x:c>
      <x:c r="D36" s="2" t="str">
        <x:v>revenue</x:v>
      </x:c>
      <x:c r="E36" s="2" t="str">
        <x:v>made_by_fpt</x:v>
      </x:c>
      <x:c r="F36" s="36" t="n">
        <x:v>1845</x:v>
      </x:c>
      <x:c r="G36" s="2" t="str">
        <x:v>VND_billion</x:v>
      </x:c>
      <x:c r="H36" s="2" t="str">
        <x:v>fpt_earnings_9m2025</x:v>
      </x:c>
      <x:c r="I36" s="2" t="n">
        <x:v>8</x:v>
      </x:c>
      <x:c r="J36" s="2" t="str">
        <x:v>+22.8% YoY</x:v>
      </x:c>
    </x:row>
    <x:row r="37" ht="15" hidden="0" customHeight="1">
      <x:c r="C37" s="53" t="n">
        <x:v>45930</x:v>
      </x:c>
      <x:c r="D37" s="2" t="str">
        <x:v>revenue</x:v>
      </x:c>
      <x:c r="E37" s="2" t="str">
        <x:v>telecom_broadband</x:v>
      </x:c>
      <x:c r="F37" s="36" t="n">
        <x:v>7389</x:v>
      </x:c>
      <x:c r="G37" s="2" t="str">
        <x:v>VND_billion</x:v>
      </x:c>
      <x:c r="H37" s="2" t="str">
        <x:v>fpt_earnings_9m2025</x:v>
      </x:c>
      <x:c r="I37" s="2" t="n">
        <x:v>9</x:v>
      </x:c>
      <x:c r="J37" s="2" t="str">
        <x:v>comparison layout visually verified</x:v>
      </x:c>
    </x:row>
    <x:row r="38" ht="15" hidden="0" customHeight="1">
      <x:c r="C38" s="53" t="n">
        <x:v>45930</x:v>
      </x:c>
      <x:c r="D38" s="2" t="str">
        <x:v>revenue</x:v>
      </x:c>
      <x:c r="E38" s="2" t="str">
        <x:v>telecom_other</x:v>
      </x:c>
      <x:c r="F38" s="36" t="n">
        <x:v>6350</x:v>
      </x:c>
      <x:c r="G38" s="2" t="str">
        <x:v>VND_billion</x:v>
      </x:c>
      <x:c r="H38" s="2" t="str">
        <x:v>fpt_earnings_9m2025</x:v>
      </x:c>
      <x:c r="I38" s="2" t="n">
        <x:v>9</x:v>
      </x:c>
      <x:c r="J38" s="2" t="str">
        <x:v>comparison layout visually verified</x:v>
      </x:c>
    </x:row>
    <x:row r="39" ht="15" hidden="0" customHeight="1">
      <x:c r="C39" s="53" t="n">
        <x:v>45930</x:v>
      </x:c>
      <x:c r="D39" s="2" t="str">
        <x:v>revenue</x:v>
      </x:c>
      <x:c r="E39" s="2" t="str">
        <x:v>education</x:v>
      </x:c>
      <x:c r="F39" s="36" t="n">
        <x:v>5195</x:v>
      </x:c>
      <x:c r="G39" s="2" t="str">
        <x:v>VND_billion</x:v>
      </x:c>
      <x:c r="H39" s="2" t="str">
        <x:v>fpt_earnings_9m2025</x:v>
      </x:c>
      <x:c r="I39" s="2" t="n">
        <x:v>10</x:v>
      </x:c>
      <x:c r="J39" s="2" t="str">
        <x:v>+1.0% YoY</x:v>
      </x:c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 ht="15" hidden="0" customHeight="1">
      <x:c r="C43" s="2"/>
      <x:c r="D43" s="2"/>
      <x:c r="E43" s="2"/>
      <x:c r="F43" s="2"/>
      <x:c r="G43" s="2"/>
      <x:c r="H43" s="2"/>
      <x:c r="I43" s="2"/>
      <x:c r="J43" s="2"/>
    </x:row>
    <x:row r="44" ht="15" hidden="0" customHeight="1">
      <x:c r="C44" s="2"/>
      <x:c r="D44" s="2"/>
      <x:c r="E44" s="2"/>
      <x:c r="F44" s="2"/>
      <x:c r="G44" s="2"/>
      <x:c r="H44" s="2"/>
      <x:c r="I44" s="2"/>
      <x:c r="J44" s="2"/>
    </x:row>
    <x:row r="45" ht="15" hidden="0" customHeight="1">
      <x:c r="C45" s="2"/>
      <x:c r="D45" s="2"/>
      <x:c r="E45" s="2"/>
      <x:c r="F45" s="2"/>
      <x:c r="G45" s="2"/>
      <x:c r="H45" s="2"/>
      <x:c r="I45" s="2"/>
      <x:c r="J45" s="2"/>
    </x:row>
    <x:row r="46" ht="15" hidden="0" customHeight="1">
      <x:c r="C46" s="2"/>
      <x:c r="D46" s="2"/>
      <x:c r="E46" s="2"/>
      <x:c r="F46" s="2"/>
      <x:c r="G46" s="2"/>
      <x:c r="H46" s="2"/>
      <x:c r="I46" s="2"/>
      <x:c r="J46" s="2"/>
    </x:row>
    <x:row r="47" ht="15" hidden="0" customHeight="1">
      <x:c r="C47" s="2"/>
      <x:c r="D47" s="2"/>
      <x:c r="E47" s="2"/>
      <x:c r="F47" s="2"/>
      <x:c r="G47" s="2"/>
      <x:c r="H47" s="2"/>
      <x:c r="I47" s="2"/>
      <x:c r="J47" s="2"/>
    </x:row>
    <x:row r="48" ht="15" hidden="0" customHeight="1">
      <x:c r="C48" s="2"/>
      <x:c r="D48" s="2"/>
      <x:c r="E48" s="2"/>
      <x:c r="F48" s="2"/>
      <x:c r="G48" s="2"/>
      <x:c r="H48" s="2"/>
      <x:c r="I48" s="2"/>
      <x:c r="J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</x:row>
    <x:row r="50" ht="15" hidden="0" customHeight="1">
      <x:c r="C50" s="2"/>
      <x:c r="D50" s="2"/>
      <x:c r="E50" s="2"/>
      <x:c r="F50" s="2"/>
      <x:c r="G50" s="2"/>
      <x:c r="H50" s="2"/>
      <x:c r="I50" s="2"/>
      <x:c r="J50" s="2"/>
    </x:row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2" ht="18" hidden="0" customHeight="1">
      <x:c r="C2" s="3" t="str">
        <x:v>EPS values by filing version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Comparative EPS changes across filings. A normalized diluted-share history is required before valuation.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Source</x:v>
      </x:c>
      <x:c r="D5" s="22" t="str">
        <x:v>Filing year</x:v>
      </x:c>
      <x:c r="E5" s="22" t="str">
        <x:v>Observation year</x:v>
      </x:c>
      <x:c r="F5" s="22" t="str">
        <x:v>Basic EPS</x:v>
      </x:c>
      <x:c r="G5" s="22" t="str">
        <x:v>Diluted EPS</x:v>
      </x:c>
      <x:c r="H5" s="22" t="str">
        <x:v>Presentation</x:v>
      </x:c>
      <x:c r="I5" s="22" t="str">
        <x:v>Page</x:v>
      </x:c>
      <x:c r="J5" s="23" t="str">
        <x:v>Note</x:v>
      </x:c>
    </x:row>
    <x:row r="6" ht="24" hidden="0" customHeight="1">
      <x:c r="C6" s="2" t="str">
        <x:v>fpt_ar_2021</x:v>
      </x:c>
      <x:c r="D6" s="2" t="n">
        <x:v>2021</x:v>
      </x:c>
      <x:c r="E6" s="2" t="n">
        <x:v>2020</x:v>
      </x:c>
      <x:c r="F6" s="55" t="n">
        <x:v>3579</x:v>
      </x:c>
      <x:c r="G6" s="55" t="n">
        <x:v>3579</x:v>
      </x:c>
      <x:c r="H6" s="2" t="str">
        <x:v>comparative</x:v>
      </x:c>
      <x:c r="I6" s="2" t="n">
        <x:v>74</x:v>
      </x:c>
      <x:c r="J6" s="56" t="str">
        <x:v>as reclassified in 2021 filing</x:v>
      </x:c>
    </x:row>
    <x:row r="7" ht="24" hidden="0" customHeight="1">
      <x:c r="C7" s="2" t="str">
        <x:v>fpt_ar_2021</x:v>
      </x:c>
      <x:c r="D7" s="2" t="n">
        <x:v>2021</x:v>
      </x:c>
      <x:c r="E7" s="2" t="n">
        <x:v>2021</x:v>
      </x:c>
      <x:c r="F7" s="55" t="n">
        <x:v>4349</x:v>
      </x:c>
      <x:c r="G7" s="55" t="n">
        <x:v>4349</x:v>
      </x:c>
      <x:c r="H7" s="2" t="str">
        <x:v>current_year</x:v>
      </x:c>
      <x:c r="I7" s="2" t="n">
        <x:v>74</x:v>
      </x:c>
      <x:c r="J7" s="56" t="str">
        <x:v>as presented</x:v>
      </x:c>
    </x:row>
    <x:row r="8" ht="24" hidden="0" customHeight="1">
      <x:c r="C8" s="2" t="str">
        <x:v>fpt_ar_2022</x:v>
      </x:c>
      <x:c r="D8" s="2" t="n">
        <x:v>2022</x:v>
      </x:c>
      <x:c r="E8" s="2" t="n">
        <x:v>2021</x:v>
      </x:c>
      <x:c r="F8" s="55" t="n">
        <x:v>3618</x:v>
      </x:c>
      <x:c r="G8" s="55" t="n">
        <x:v>3618</x:v>
      </x:c>
      <x:c r="H8" s="2" t="str">
        <x:v>comparative</x:v>
      </x:c>
      <x:c r="I8" s="2" t="n">
        <x:v>73</x:v>
      </x:c>
      <x:c r="J8" s="56" t="str">
        <x:v>comparative EPS differs from prior filing due to per-share restatement effects</x:v>
      </x:c>
    </x:row>
    <x:row r="9" ht="24" hidden="0" customHeight="1">
      <x:c r="C9" s="2" t="str">
        <x:v>fpt_ar_2022</x:v>
      </x:c>
      <x:c r="D9" s="2" t="n">
        <x:v>2022</x:v>
      </x:c>
      <x:c r="E9" s="2" t="n">
        <x:v>2022</x:v>
      </x:c>
      <x:c r="F9" s="55" t="n">
        <x:v>4429</x:v>
      </x:c>
      <x:c r="G9" s="55" t="n">
        <x:v>4429</x:v>
      </x:c>
      <x:c r="H9" s="2" t="str">
        <x:v>current_year</x:v>
      </x:c>
      <x:c r="I9" s="2" t="n">
        <x:v>73</x:v>
      </x:c>
      <x:c r="J9" s="56" t="str">
        <x:v>as presented</x:v>
      </x:c>
    </x:row>
    <x:row r="10" ht="24" hidden="0" customHeight="1">
      <x:c r="C10" s="2" t="str">
        <x:v>fpt_ar_2023</x:v>
      </x:c>
      <x:c r="D10" s="2" t="n">
        <x:v>2023</x:v>
      </x:c>
      <x:c r="E10" s="2" t="n">
        <x:v>2022</x:v>
      </x:c>
      <x:c r="F10" s="55" t="n">
        <x:v>3847</x:v>
      </x:c>
      <x:c r="G10" s="55" t="n">
        <x:v>3847</x:v>
      </x:c>
      <x:c r="H10" s="2" t="str">
        <x:v>comparative</x:v>
      </x:c>
      <x:c r="I10" s="2" t="n">
        <x:v>149</x:v>
      </x:c>
      <x:c r="J10" s="56" t="str">
        <x:v>comparative EPS differs from prior filing</x:v>
      </x:c>
    </x:row>
    <x:row r="11" ht="24" hidden="0" customHeight="1">
      <x:c r="C11" s="2" t="str">
        <x:v>fpt_ar_2023</x:v>
      </x:c>
      <x:c r="D11" s="2" t="n">
        <x:v>2023</x:v>
      </x:c>
      <x:c r="E11" s="2" t="n">
        <x:v>2023</x:v>
      </x:c>
      <x:c r="F11" s="55" t="n">
        <x:v>4661</x:v>
      </x:c>
      <x:c r="G11" s="55" t="n">
        <x:v>4661</x:v>
      </x:c>
      <x:c r="H11" s="2" t="str">
        <x:v>current_year</x:v>
      </x:c>
      <x:c r="I11" s="2" t="n">
        <x:v>149</x:v>
      </x:c>
      <x:c r="J11" s="56" t="str">
        <x:v>as presented</x:v>
      </x:c>
    </x:row>
    <x:row r="12" ht="24" hidden="0" customHeight="1">
      <x:c r="C12" s="2" t="str">
        <x:v>fpt_ar_2024</x:v>
      </x:c>
      <x:c r="D12" s="2" t="n">
        <x:v>2024</x:v>
      </x:c>
      <x:c r="E12" s="2" t="n">
        <x:v>2023</x:v>
      </x:c>
      <x:c r="F12" s="55" t="n">
        <x:v>4052</x:v>
      </x:c>
      <x:c r="G12" s="55" t="n">
        <x:v>4052</x:v>
      </x:c>
      <x:c r="H12" s="2" t="str">
        <x:v>comparative</x:v>
      </x:c>
      <x:c r="I12" s="2" t="n">
        <x:v>152</x:v>
      </x:c>
      <x:c r="J12" s="56" t="str">
        <x:v>comparative EPS differs from prior filing</x:v>
      </x:c>
    </x:row>
    <x:row r="13" ht="24" hidden="0" customHeight="1">
      <x:c r="C13" s="2" t="str">
        <x:v>fpt_ar_2024</x:v>
      </x:c>
      <x:c r="D13" s="2" t="n">
        <x:v>2024</x:v>
      </x:c>
      <x:c r="E13" s="2" t="n">
        <x:v>2024</x:v>
      </x:c>
      <x:c r="F13" s="55" t="n">
        <x:v>4944</x:v>
      </x:c>
      <x:c r="G13" s="55" t="n">
        <x:v>4944</x:v>
      </x:c>
      <x:c r="H13" s="2" t="str">
        <x:v>current_year</x:v>
      </x:c>
      <x:c r="I13" s="2" t="n">
        <x:v>152</x:v>
      </x:c>
      <x:c r="J13" s="56" t="str">
        <x:v>as presented</x:v>
      </x:c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54" hidden="0" customWidth="1"/>
  </x:cols>
  <x:sheetData>
    <x:row r="2" ht="18" hidden="0" customHeight="1">
      <x:c r="C2" s="3" t="str">
        <x:v>Reported share-count bridge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5" hidden="0" customHeight="1">
      <x:c r="C3" s="4" t="str">
        <x:v>Roll-forward control only. Weighted-average observations have different filing vintages and are not yet one common-basis series.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6"/>
      <x:c r="O4" s="6"/>
      <x:c r="P4" s="6"/>
      <x:c r="Q4" s="6"/>
    </x:row>
    <x:row r="5" ht="15" hidden="0" customHeight="1">
      <x:c r="C5" s="21" t="str">
        <x:v>Fiscal year</x:v>
      </x:c>
      <x:c r="D5" s="22" t="str">
        <x:v>Beginning shares</x:v>
      </x:c>
      <x:c r="E5" s="22" t="str">
        <x:v>Employee / other issuance</x:v>
      </x:c>
      <x:c r="F5" s="22" t="str">
        <x:v>Share dividend shares</x:v>
      </x:c>
      <x:c r="G5" s="22" t="str">
        <x:v>Ending shares</x:v>
      </x:c>
      <x:c r="H5" s="22" t="str">
        <x:v>Roll-forward check</x:v>
      </x:c>
      <x:c r="I5" s="22" t="str">
        <x:v>Latest weighted average</x:v>
      </x:c>
      <x:c r="J5" s="22" t="str">
        <x:v>Basis filing</x:v>
      </x:c>
      <x:c r="K5" s="22" t="str">
        <x:v>Source</x:v>
      </x:c>
      <x:c r="L5" s="22" t="str">
        <x:v>Report page</x:v>
      </x:c>
      <x:c r="M5" s="23" t="str">
        <x:v>Note</x:v>
      </x:c>
    </x:row>
    <x:row r="6" ht="32" hidden="0" customHeight="1">
      <x:c r="C6" s="2" t="n">
        <x:v>2020</x:v>
      </x:c>
      <x:c r="D6" s="55" t="n">
        <x:v>678276312</x:v>
      </x:c>
      <x:c r="E6" s="55" t="n">
        <x:v>3391790</x:v>
      </x:c>
      <x:c r="F6" s="55" t="n">
        <x:v>102237008</x:v>
      </x:c>
      <x:c r="G6" s="55" t="n">
        <x:v>783905110</x:v>
      </x:c>
      <x:c r="H6" s="57" t="n">
        <x:f>D6+E6+F6-G6</x:f>
        <x:v>0</x:v>
      </x:c>
      <x:c r="I6" s="55" t="n">
        <x:v>901425458</x:v>
      </x:c>
      <x:c r="J6" s="2" t="str">
        <x:v>FY2021</x:v>
      </x:c>
      <x:c r="K6" s="2" t="str">
        <x:v>fpt_ar_2021</x:v>
      </x:c>
      <x:c r="L6" s="2" t="str">
        <x:v>72-74</x:v>
      </x:c>
      <x:c r="M6" s="56" t="str">
        <x:v>FY2020 weighted average includes the FY2021 15% share-dividend retrospective adjustment; it is not yet on a FY2024 common share basis</x:v>
      </x:c>
    </x:row>
    <x:row r="7" ht="32" hidden="0" customHeight="1">
      <x:c r="C7" s="2" t="n">
        <x:v>2021</x:v>
      </x:c>
      <x:c r="D7" s="55" t="n">
        <x:v>783905110</x:v>
      </x:c>
      <x:c r="E7" s="55" t="n">
        <x:v>5209768</x:v>
      </x:c>
      <x:c r="F7" s="55" t="n">
        <x:v>118354395</x:v>
      </x:c>
      <x:c r="G7" s="55" t="n">
        <x:v>907469273</x:v>
      </x:c>
      <x:c r="H7" s="57" t="n">
        <x:f>D7+E7+F7-G7</x:f>
        <x:v>0</x:v>
      </x:c>
      <x:c r="I7" s="55" t="n">
        <x:v>1088929691</x:v>
      </x:c>
      <x:c r="J7" s="2" t="str">
        <x:v>FY2022</x:v>
      </x:c>
      <x:c r="K7" s="2" t="str">
        <x:v>fpt_ar_2022</x:v>
      </x:c>
      <x:c r="L7" s="2" t="str">
        <x:v>69-73</x:v>
      </x:c>
      <x:c r="M7" s="56" t="str">
        <x:v>FY2021 weighted average is the FY2022 comparative after the FY2022 20% share-dividend adjustment</x:v>
      </x:c>
    </x:row>
    <x:row r="8" ht="32" hidden="0" customHeight="1">
      <x:c r="C8" s="2" t="n">
        <x:v>2022</x:v>
      </x:c>
      <x:c r="D8" s="55" t="n">
        <x:v>907469273</x:v>
      </x:c>
      <x:c r="E8" s="55" t="n">
        <x:v>6726641</x:v>
      </x:c>
      <x:c r="F8" s="55" t="n">
        <x:v>182830658</x:v>
      </x:c>
      <x:c r="G8" s="55" t="n">
        <x:v>1097026572</x:v>
      </x:c>
      <x:c r="H8" s="57" t="n">
        <x:f>D8+E8+F8-G8</x:f>
        <x:v>0</x:v>
      </x:c>
      <x:c r="I8" s="55" t="n">
        <x:v>1260312644</x:v>
      </x:c>
      <x:c r="J8" s="2" t="str">
        <x:v>FY2023</x:v>
      </x:c>
      <x:c r="K8" s="2" t="str">
        <x:v>fpt_ar_2023</x:v>
      </x:c>
      <x:c r="L8" s="2" t="str">
        <x:v>184-188</x:v>
      </x:c>
      <x:c r="M8" s="56" t="str">
        <x:v>FY2022 weighted average is the FY2023 comparative after the FY2023 15% share-dividend adjustment</x:v>
      </x:c>
    </x:row>
    <x:row r="9" ht="32" hidden="0" customHeight="1">
      <x:c r="C9" s="2" t="n">
        <x:v>2023</x:v>
      </x:c>
      <x:c r="D9" s="55" t="n">
        <x:v>1097026572</x:v>
      </x:c>
      <x:c r="E9" s="55" t="n">
        <x:v>7305050</x:v>
      </x:c>
      <x:c r="F9" s="55" t="n">
        <x:v>165637253</x:v>
      </x:c>
      <x:c r="G9" s="55" t="n">
        <x:v>1269968875</x:v>
      </x:c>
      <x:c r="H9" s="57" t="n">
        <x:f>D9+E9+F9-G9</x:f>
        <x:v>0</x:v>
      </x:c>
      <x:c r="I9" s="55" t="n">
        <x:v>1457906309</x:v>
      </x:c>
      <x:c r="J9" s="2" t="str">
        <x:v>FY2024</x:v>
      </x:c>
      <x:c r="K9" s="2" t="str">
        <x:v>fpt_ar_2024</x:v>
      </x:c>
      <x:c r="L9" s="2" t="str">
        <x:v>188-191</x:v>
      </x:c>
      <x:c r="M9" s="56" t="str">
        <x:v>FY2023 weighted average is the FY2024 comparative after the FY2024 15% share-dividend adjustment</x:v>
      </x:c>
    </x:row>
    <x:row r="10" ht="32" hidden="0" customHeight="1">
      <x:c r="C10" s="2" t="n">
        <x:v>2024</x:v>
      </x:c>
      <x:c r="D10" s="55" t="n">
        <x:v>1269968875</x:v>
      </x:c>
      <x:c r="E10" s="55" t="n">
        <x:v>10621117</x:v>
      </x:c>
      <x:c r="F10" s="55" t="n">
        <x:v>190479191</x:v>
      </x:c>
      <x:c r="G10" s="55" t="n">
        <x:v>1471069183</x:v>
      </x:c>
      <x:c r="H10" s="57" t="n">
        <x:f>D10+E10+F10-G10</x:f>
        <x:v>0</x:v>
      </x:c>
      <x:c r="I10" s="55" t="n">
        <x:v>1462653544</x:v>
      </x:c>
      <x:c r="J10" s="2" t="str">
        <x:v>FY2024</x:v>
      </x:c>
      <x:c r="K10" s="2" t="str">
        <x:v>fpt_ar_2024</x:v>
      </x:c>
      <x:c r="L10" s="2" t="str">
        <x:v>188-191</x:v>
      </x:c>
      <x:c r="M10" s="56" t="str">
        <x:v>Current-year FY2024 weighted average as presented</x:v>
      </x:c>
    </x:row>
    <x:row r="11" ht="15" hidden="0" customHeight="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H6:H10">
    <x:cfRule type="expression" dxfId="1" priority="1">
      <x:formula>ABS(H6)&gt;0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2" ht="18" hidden="0" customHeight="1">
      <x:c r="C2" s="3" t="str">
        <x:v>Model checks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Terminal checks only. No forecast or output formula depends on this sheet.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24" hidden="0" customHeight="1">
      <x:c r="C5" s="21" t="str">
        <x:v>Check</x:v>
      </x:c>
      <x:c r="D5" s="22" t="str">
        <x:v>Tolerance</x:v>
      </x:c>
      <x:c r="E5" s="22" t="str">
        <x:v>2020</x:v>
      </x:c>
      <x:c r="F5" s="22" t="str">
        <x:v>2021</x:v>
      </x:c>
      <x:c r="G5" s="22" t="str">
        <x:v>2022</x:v>
      </x:c>
      <x:c r="H5" s="22" t="str">
        <x:v>2023</x:v>
      </x:c>
      <x:c r="I5" s="22" t="str">
        <x:v>2024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Balance sheet difference</x:v>
      </x:c>
      <x:c r="D6" s="2" t="n">
        <x:v>0.01</x:v>
      </x:c>
      <x:c r="E6" s="58" t="n">
        <x:f>'Annual Actuals'!E30</x:f>
        <x:v>0</x:v>
      </x:c>
      <x:c r="F6" s="58" t="n">
        <x:f>'Annual Actuals'!F30</x:f>
        <x:v>0</x:v>
      </x:c>
      <x:c r="G6" s="58" t="n">
        <x:f>'Annual Actuals'!G30</x:f>
        <x:v>0</x:v>
      </x:c>
      <x:c r="H6" s="58" t="n">
        <x:f>'Annual Actuals'!H30</x:f>
        <x:v>0</x:v>
      </x:c>
      <x:c r="I6" s="58" t="n">
        <x:f>'Annual Actuals'!I30</x:f>
        <x:v>0</x:v>
      </x:c>
      <x:c r="J6" s="58"/>
      <x:c r="K6" s="58"/>
      <x:c r="L6" s="58"/>
      <x:c r="M6" s="58"/>
      <x:c r="N6" s="58"/>
      <x:c r="O6" s="58"/>
    </x:row>
    <x:row r="7" ht="15" hidden="0" customHeight="1">
      <x:c r="C7" s="2" t="str">
        <x:v>PAT attribution difference</x:v>
      </x:c>
      <x:c r="D7" s="2" t="n">
        <x:v>0.01</x:v>
      </x:c>
      <x:c r="E7" s="58" t="n">
        <x:f>'Annual Actuals'!E31</x:f>
        <x:v>0</x:v>
      </x:c>
      <x:c r="F7" s="58" t="n">
        <x:f>'Annual Actuals'!F31</x:f>
        <x:v>0</x:v>
      </x:c>
      <x:c r="G7" s="58" t="n">
        <x:f>'Annual Actuals'!G31</x:f>
        <x:v>0</x:v>
      </x:c>
      <x:c r="H7" s="58" t="n">
        <x:f>'Annual Actuals'!H31</x:f>
        <x:v>0</x:v>
      </x:c>
      <x:c r="I7" s="58" t="n">
        <x:f>'Annual Actuals'!I31</x:f>
        <x:v>0</x:v>
      </x:c>
      <x:c r="J7" s="58"/>
      <x:c r="K7" s="58"/>
      <x:c r="L7" s="58"/>
      <x:c r="M7" s="58"/>
      <x:c r="N7" s="58"/>
      <x:c r="O7" s="58"/>
    </x:row>
    <x:row r="8" ht="15" hidden="0" customHeight="1">
      <x:c r="C8" s="2" t="str">
        <x:v>Segment revenue less consolidated revenue</x:v>
      </x:c>
      <x:c r="D8" s="2" t="n">
        <x:v>0.01</x:v>
      </x:c>
      <x:c r="E8" s="58" t="n">
        <x:f>ROUND('Segment Build'!E24-'Annual Actuals'!E6,2)</x:f>
        <x:v>0</x:v>
      </x:c>
      <x:c r="F8" s="58" t="n">
        <x:f>ROUND('Segment Build'!F24-'Annual Actuals'!F6,2)</x:f>
        <x:v>0</x:v>
      </x:c>
      <x:c r="G8" s="58" t="n">
        <x:f>ROUND('Segment Build'!G24-'Annual Actuals'!G6,2)</x:f>
        <x:v>0</x:v>
      </x:c>
      <x:c r="H8" s="58" t="n">
        <x:f>ROUND('Segment Build'!H24-'Annual Actuals'!H6,2)</x:f>
        <x:v>0</x:v>
      </x:c>
      <x:c r="I8" s="58" t="n">
        <x:f>ROUND('Segment Build'!I24-'Annual Actuals'!I6,2)</x:f>
        <x:v>0</x:v>
      </x:c>
      <x:c r="J8" s="58"/>
      <x:c r="K8" s="58"/>
      <x:c r="L8" s="58"/>
      <x:c r="M8" s="58"/>
      <x:c r="N8" s="58"/>
      <x:c r="O8" s="58"/>
    </x:row>
    <x:row r="9" ht="15" hidden="0" customHeight="1">
      <x:c r="C9" s="2" t="str">
        <x:v>Segment PBT less consolidated PBT</x:v>
      </x:c>
      <x:c r="D9" s="2" t="n">
        <x:v>0.01</x:v>
      </x:c>
      <x:c r="E9" s="58" t="n">
        <x:f>ROUND('Segment Build'!E27-'Annual Actuals'!E9,2)</x:f>
        <x:v>0</x:v>
      </x:c>
      <x:c r="F9" s="58" t="n">
        <x:f>ROUND('Segment Build'!F27-'Annual Actuals'!F9,2)</x:f>
        <x:v>0</x:v>
      </x:c>
      <x:c r="G9" s="58" t="n">
        <x:f>ROUND('Segment Build'!G27-'Annual Actuals'!G9,2)</x:f>
        <x:v>0</x:v>
      </x:c>
      <x:c r="H9" s="58" t="n">
        <x:f>ROUND('Segment Build'!H27-'Annual Actuals'!H9,2)</x:f>
        <x:v>0</x:v>
      </x:c>
      <x:c r="I9" s="58" t="n">
        <x:f>ROUND('Segment Build'!I27-'Annual Actuals'!I9,2)</x:f>
        <x:v>0</x:v>
      </x:c>
      <x:c r="J9" s="58"/>
      <x:c r="K9" s="58"/>
      <x:c r="L9" s="58"/>
      <x:c r="M9" s="58"/>
      <x:c r="N9" s="58"/>
      <x:c r="O9" s="58"/>
    </x:row>
    <x:row r="10" ht="15" hidden="0" customHeight="1">
      <x:c r="C10" s="2" t="str">
        <x:v>Share roll-forward difference</x:v>
      </x:c>
      <x:c r="D10" s="2" t="n">
        <x:v>0</x:v>
      </x:c>
      <x:c r="E10" s="58" t="n">
        <x:f>'Share Bridge'!H6</x:f>
        <x:v>0</x:v>
      </x:c>
      <x:c r="F10" s="58" t="n">
        <x:f>'Share Bridge'!H7</x:f>
        <x:v>0</x:v>
      </x:c>
      <x:c r="G10" s="58" t="n">
        <x:f>'Share Bridge'!H8</x:f>
        <x:v>0</x:v>
      </x:c>
      <x:c r="H10" s="58" t="n">
        <x:f>'Share Bridge'!H9</x:f>
        <x:v>0</x:v>
      </x:c>
      <x:c r="I10" s="58" t="n">
        <x:f>'Share Bridge'!H10</x:f>
        <x:v>0</x:v>
      </x:c>
      <x:c r="J10" s="58"/>
      <x:c r="K10" s="58"/>
      <x:c r="L10" s="58"/>
      <x:c r="M10" s="58"/>
      <x:c r="N10" s="58"/>
      <x:c r="O10" s="58"/>
    </x:row>
    <x:row r="11" ht="15" hidden="0" customHeight="1">
      <x:c r="C11" s="2" t="str">
        <x:v>Revenue build less FCFF build</x:v>
      </x:c>
      <x:c r="D11" s="2" t="n">
        <x:v>0.01</x:v>
      </x:c>
      <x:c r="E11" s="58" t="n">
        <x:f>ROUND('Segment Build'!E24-'FCFF Build'!E6,2)</x:f>
        <x:v>0</x:v>
      </x:c>
      <x:c r="F11" s="58" t="n">
        <x:f>ROUND('Segment Build'!F24-'FCFF Build'!F6,2)</x:f>
        <x:v>0</x:v>
      </x:c>
      <x:c r="G11" s="58" t="n">
        <x:f>ROUND('Segment Build'!G24-'FCFF Build'!G6,2)</x:f>
        <x:v>0</x:v>
      </x:c>
      <x:c r="H11" s="58" t="n">
        <x:f>ROUND('Segment Build'!H24-'FCFF Build'!H6,2)</x:f>
        <x:v>0</x:v>
      </x:c>
      <x:c r="I11" s="58" t="n">
        <x:f>ROUND('Segment Build'!I24-'FCFF Build'!I6,2)</x:f>
        <x:v>0</x:v>
      </x:c>
      <x:c r="J11" s="58" t="n">
        <x:f>ROUND('Segment Build'!J24-'FCFF Build'!J6,2)</x:f>
        <x:v>0</x:v>
      </x:c>
      <x:c r="K11" s="58" t="n">
        <x:f>ROUND('Segment Build'!K24-'FCFF Build'!K6,2)</x:f>
        <x:v>0</x:v>
      </x:c>
      <x:c r="L11" s="58" t="n">
        <x:f>ROUND('Segment Build'!L24-'FCFF Build'!L6,2)</x:f>
        <x:v>0</x:v>
      </x:c>
      <x:c r="M11" s="58" t="n">
        <x:f>ROUND('Segment Build'!M24-'FCFF Build'!M6,2)</x:f>
        <x:v>0</x:v>
      </x:c>
      <x:c r="N11" s="58" t="n">
        <x:f>ROUND('Segment Build'!N24-'FCFF Build'!N6,2)</x:f>
        <x:v>0</x:v>
      </x:c>
      <x:c r="O11" s="58" t="n">
        <x:f>ROUND('Segment Build'!O24-'FCFF Build'!O6,2)</x:f>
        <x:v>0</x:v>
      </x:c>
    </x:row>
    <x:row r="12" ht="15" hidden="0" customHeight="1">
      <x:c r="C12" s="2" t="str">
        <x:v>Summary revenue less FCFF build</x:v>
      </x:c>
      <x:c r="D12" s="2" t="n">
        <x:v>0.01</x:v>
      </x:c>
      <x:c r="E12" s="58" t="n">
        <x:f>ROUND('Summary'!D6-'FCFF Build'!E6,2)</x:f>
        <x:v>0</x:v>
      </x:c>
      <x:c r="F12" s="58" t="n">
        <x:f>ROUND('Summary'!E6-'FCFF Build'!F6,2)</x:f>
        <x:v>0</x:v>
      </x:c>
      <x:c r="G12" s="58" t="n">
        <x:f>ROUND('Summary'!F6-'FCFF Build'!G6,2)</x:f>
        <x:v>0</x:v>
      </x:c>
      <x:c r="H12" s="58" t="n">
        <x:f>ROUND('Summary'!G6-'FCFF Build'!H6,2)</x:f>
        <x:v>0</x:v>
      </x:c>
      <x:c r="I12" s="58" t="n">
        <x:f>ROUND('Summary'!H6-'FCFF Build'!I6,2)</x:f>
        <x:v>0</x:v>
      </x:c>
      <x:c r="J12" s="58" t="n">
        <x:f>ROUND('Summary'!I6-'FCFF Build'!J6,2)</x:f>
        <x:v>0</x:v>
      </x:c>
      <x:c r="K12" s="58" t="n">
        <x:f>ROUND('Summary'!J6-'FCFF Build'!K6,2)</x:f>
        <x:v>0</x:v>
      </x:c>
      <x:c r="L12" s="58" t="n">
        <x:f>ROUND('Summary'!K6-'FCFF Build'!L6,2)</x:f>
        <x:v>0</x:v>
      </x:c>
      <x:c r="M12" s="58" t="n">
        <x:f>ROUND('Summary'!L6-'FCFF Build'!M6,2)</x:f>
        <x:v>0</x:v>
      </x:c>
      <x:c r="N12" s="58" t="n">
        <x:f>ROUND('Summary'!M6-'FCFF Build'!N6,2)</x:f>
        <x:v>0</x:v>
      </x:c>
      <x:c r="O12" s="58" t="n">
        <x:f>ROUND('Summary'!N6-'FCFF Build'!O6,2)</x:f>
        <x:v>0</x:v>
      </x:c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E6:O12">
    <x:cfRule type="expression" dxfId="2" priority="1">
      <x:formula>AND(ISNUMBER(E6),ABS(E6)&gt;$D6)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2" hidden="0" customWidth="1"/>
    <x:col min="4" max="4" width="24" hidden="0" customWidth="1"/>
    <x:col min="5" max="5" width="14" hidden="0" customWidth="1"/>
    <x:col min="6" max="6" width="58" hidden="0" customWidth="1"/>
    <x:col min="7" max="7" width="66" hidden="0" customWidth="1"/>
    <x:col min="8" max="8" width="22" hidden="0" customWidth="1"/>
    <x:col min="9" max="9" width="22" hidden="0" customWidth="1"/>
    <x:col min="10" max="10" width="46" hidden="0" customWidth="1"/>
  </x:cols>
  <x:sheetData>
    <x:row r="2" ht="18" hidden="0" customHeight="1">
      <x:c r="C2" s="3" t="str">
        <x:v>Source register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Official FPT materials. Checksums refer to downloaded research snapshots; raw PDFs are not part of the public sample dataset.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Source ID</x:v>
      </x:c>
      <x:c r="D5" s="22" t="str">
        <x:v>Document</x:v>
      </x:c>
      <x:c r="E5" s="22" t="str">
        <x:v>Period end</x:v>
      </x:c>
      <x:c r="F5" s="22" t="str">
        <x:v>URL</x:v>
      </x:c>
      <x:c r="G5" s="22" t="str">
        <x:v>SHA-256</x:v>
      </x:c>
      <x:c r="H5" s="22" t="str">
        <x:v>Status</x:v>
      </x:c>
      <x:c r="I5" s="22" t="str">
        <x:v>Clock A</x:v>
      </x:c>
      <x:c r="J5" s="23" t="str">
        <x:v>Notes</x:v>
      </x:c>
    </x:row>
    <x:row r="6" ht="30" hidden="0" customHeight="1">
      <x:c r="C6" s="56" t="str">
        <x:v>fpt_ar_2020</x:v>
      </x:c>
      <x:c r="D6" s="56" t="str">
        <x:v>Annual Report 2020</x:v>
      </x:c>
      <x:c r="E6" s="56" t="str">
        <x:v>2020-12-31</x:v>
      </x:c>
      <x:c r="F6" s="60" t="str">
        <x:v>https://fpt.com/api/media/bctn_2020_3e29e2eb59.pdf</x:v>
      </x:c>
      <x:c r="G6" s="56" t="str">
        <x:v>8b0615e03ebb021a2e5bb17e140b1e7c04032184cd300f7f6459b4e42d0b1897</x:v>
      </x:c>
      <x:c r="H6" s="56" t="str">
        <x:v>text extracted</x:v>
      </x:c>
      <x:c r="I6" s="56" t="str">
        <x:v>yes</x:v>
      </x:c>
      <x:c r="J6" s="56" t="str">
        <x:v>Core FY2020 values use FY2021 reclassified comparative</x:v>
      </x:c>
    </x:row>
    <x:row r="7" ht="30" hidden="0" customHeight="1">
      <x:c r="C7" s="56" t="str">
        <x:v>fpt_ar_2021</x:v>
      </x:c>
      <x:c r="D7" s="56" t="str">
        <x:v>Annual Report 2021</x:v>
      </x:c>
      <x:c r="E7" s="56" t="str">
        <x:v>2021-12-31</x:v>
      </x:c>
      <x:c r="F7" s="60" t="str">
        <x:v>https://fpt.com/api/media/ar_fpt_2021_en_cbc563965a.pdf</x:v>
      </x:c>
      <x:c r="G7" s="56" t="str">
        <x:v>ad7c8afbfbf73e70623b9d1bada8dd69d7185cfd48d79b452ab58b7244963cc5</x:v>
      </x:c>
      <x:c r="H7" s="56" t="str">
        <x:v>core facts extracted</x:v>
      </x:c>
      <x:c r="I7" s="56" t="str">
        <x:v>yes</x:v>
      </x:c>
      <x:c r="J7" s="56" t="str"/>
    </x:row>
    <x:row r="8" ht="30" hidden="0" customHeight="1">
      <x:c r="C8" s="56" t="str">
        <x:v>fpt_ar_2022</x:v>
      </x:c>
      <x:c r="D8" s="56" t="str">
        <x:v>Annual Report 2022</x:v>
      </x:c>
      <x:c r="E8" s="56" t="str">
        <x:v>2022-12-31</x:v>
      </x:c>
      <x:c r="F8" s="60" t="str">
        <x:v>https://fpt.com/api/media/arfpt_2022_acf5112890.pdf</x:v>
      </x:c>
      <x:c r="G8" s="56" t="str">
        <x:v>3ba9c4f13d4a196c6c9751b307e810aa5648651a84215dfe96f48111ac6d65cd</x:v>
      </x:c>
      <x:c r="H8" s="56" t="str">
        <x:v>core facts extracted</x:v>
      </x:c>
      <x:c r="I8" s="56" t="str">
        <x:v>yes</x:v>
      </x:c>
      <x:c r="J8" s="56" t="str"/>
    </x:row>
    <x:row r="9" ht="30" hidden="0" customHeight="1">
      <x:c r="C9" s="56" t="str">
        <x:v>fpt_ar_2023</x:v>
      </x:c>
      <x:c r="D9" s="56" t="str">
        <x:v>Annual Report 2023</x:v>
      </x:c>
      <x:c r="E9" s="56" t="str">
        <x:v>2023-12-31</x:v>
      </x:c>
      <x:c r="F9" s="60" t="str">
        <x:v>https://fpt.com/api/media/annual_report_fpt_2023_en_4287f2041d.pdf</x:v>
      </x:c>
      <x:c r="G9" s="56" t="str">
        <x:v>ff9315e1da78ccd4cfca9b75cc12946c73a761e125bfa512aeedf6417fda796c</x:v>
      </x:c>
      <x:c r="H9" s="56" t="str">
        <x:v>core facts extracted</x:v>
      </x:c>
      <x:c r="I9" s="56" t="str">
        <x:v>yes</x:v>
      </x:c>
      <x:c r="J9" s="56" t="str"/>
    </x:row>
    <x:row r="10" ht="30" hidden="0" customHeight="1">
      <x:c r="C10" s="56" t="str">
        <x:v>fpt_ar_2024</x:v>
      </x:c>
      <x:c r="D10" s="56" t="str">
        <x:v>Annual Report 2024</x:v>
      </x:c>
      <x:c r="E10" s="56" t="str">
        <x:v>2024-12-31</x:v>
      </x:c>
      <x:c r="F10" s="60" t="str">
        <x:v>https://fpt.com/api/media/fpt_annual_report_2024_63d63bc4cd.pdf</x:v>
      </x:c>
      <x:c r="G10" s="56" t="str">
        <x:v>fa791cffcea5e14e287af9df36f4ac8b5dd8a21c4a13be46495b30a56e3ee1c4</x:v>
      </x:c>
      <x:c r="H10" s="56" t="str">
        <x:v>core facts + visual check</x:v>
      </x:c>
      <x:c r="I10" s="56" t="str">
        <x:v>yes</x:v>
      </x:c>
      <x:c r="J10" s="56" t="str"/>
    </x:row>
    <x:row r="11" ht="30" hidden="0" customHeight="1">
      <x:c r="C11" s="56" t="str">
        <x:v>fpt_earnings_9m2025</x:v>
      </x:c>
      <x:c r="D11" s="56" t="str">
        <x:v>Earnings Report 9M2025</x:v>
      </x:c>
      <x:c r="E11" s="56" t="str">
        <x:v>2025-09-30</x:v>
      </x:c>
      <x:c r="F11" s="60" t="str">
        <x:v>https://fpt.com/api/media/FPT_Earnings_Report_9_M2025_7a1a6aa5d1.pdf</x:v>
      </x:c>
      <x:c r="G11" s="56" t="str">
        <x:v>27802e9d82e0f4d7f396693d5b26087a2847bcd3e2e82beef0f27a35f6b983f1</x:v>
      </x:c>
      <x:c r="H11" s="56" t="str">
        <x:v>operating facts + visual check</x:v>
      </x:c>
      <x:c r="I11" s="56" t="str">
        <x:v>yes</x:v>
      </x:c>
      <x:c r="J11" s="56" t="str">
        <x:v>Published before Clock A cutoff</x:v>
      </x:c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