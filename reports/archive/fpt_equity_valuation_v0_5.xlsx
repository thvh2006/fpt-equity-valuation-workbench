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drawings/charts/chart1.xml" ContentType="application/vnd.openxmlformats-officedocument.drawingml.chart+xml"/>
  <Override PartName="/xl/drawings/charts/chart2.xml" ContentType="application/vnd.openxmlformats-officedocument.drawingml.char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drawings/drawing2.xml" ContentType="application/vnd.openxmlformats-officedocument.drawing+xml"/>
  <Override PartName="/xl/drawings/charts/chart3.xml" ContentType="application/vnd.openxmlformats-officedocument.drawingml.chart+xml"/>
  <Override PartName="/xl/worksheets/sheet5.xml" ContentType="application/vnd.openxmlformats-officedocument.spreadsheetml.worksheet+xml"/>
  <Override PartName="/xl/drawings/drawing3.xml" ContentType="application/vnd.openxmlformats-officedocument.drawing+xml"/>
  <Override PartName="/xl/drawings/charts/chart4.xml" ContentType="application/vnd.openxmlformats-officedocument.drawingml.chart+xml"/>
  <Override PartName="/xl/drawings/charts/chart5.xml" ContentType="application/vnd.openxmlformats-officedocument.drawingml.char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389a1cdc0e9d448d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355469e8e41647d8"/>
    <x:sheet xmlns:r="http://schemas.openxmlformats.org/officeDocument/2006/relationships" name="Assumptions" sheetId="2" r:id="Rd2cedf34ecbb4a61"/>
    <x:sheet xmlns:r="http://schemas.openxmlformats.org/officeDocument/2006/relationships" name="Valuation" sheetId="3" r:id="Rfcd8e2be7724416f"/>
    <x:sheet xmlns:r="http://schemas.openxmlformats.org/officeDocument/2006/relationships" name="Comparable Valuation" sheetId="4" r:id="Re6799fe631f344a1"/>
    <x:sheet xmlns:r="http://schemas.openxmlformats.org/officeDocument/2006/relationships" name="Historical Valuation" sheetId="5" r:id="R7ffa63a6704f405a"/>
    <x:sheet xmlns:r="http://schemas.openxmlformats.org/officeDocument/2006/relationships" name="Segment Build" sheetId="6" r:id="Rfb9d52acd3d243e7"/>
    <x:sheet xmlns:r="http://schemas.openxmlformats.org/officeDocument/2006/relationships" name="FCFF Build" sheetId="7" r:id="R39fb0663318443a0"/>
    <x:sheet xmlns:r="http://schemas.openxmlformats.org/officeDocument/2006/relationships" name="Q3 Balance" sheetId="8" r:id="R8e18147a291e414a"/>
    <x:sheet xmlns:r="http://schemas.openxmlformats.org/officeDocument/2006/relationships" name="Annual Actuals" sheetId="9" r:id="Rb8c1548f6f5945b6"/>
    <x:sheet xmlns:r="http://schemas.openxmlformats.org/officeDocument/2006/relationships" name="9M25 Operating" sheetId="10" r:id="Rcb55d057c336480d"/>
    <x:sheet xmlns:r="http://schemas.openxmlformats.org/officeDocument/2006/relationships" name="EPS Versions" sheetId="11" r:id="R73e9bb2bc1024bfd"/>
    <x:sheet xmlns:r="http://schemas.openxmlformats.org/officeDocument/2006/relationships" name="Share Bridge" sheetId="12" r:id="Rdb6085dd735b463c"/>
    <x:sheet xmlns:r="http://schemas.openxmlformats.org/officeDocument/2006/relationships" name="Checks" sheetId="13" r:id="R47fcb0fac9294dae"/>
    <x:sheet xmlns:r="http://schemas.openxmlformats.org/officeDocument/2006/relationships" name="Sources" sheetId="14" r:id="Rc0f38ab3e7824239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0">
    <x:numFmt numFmtId="200" formatCode="0.0%"/>
    <x:numFmt numFmtId="201" formatCode="dd-mmm-yyyy"/>
    <x:numFmt numFmtId="202" formatCode="0.00%"/>
    <x:numFmt numFmtId="203" formatCode="0.00x"/>
    <x:numFmt numFmtId="204" formatCode="#,##0"/>
    <x:numFmt numFmtId="205" formatCode="0.0x"/>
    <x:numFmt numFmtId="206" formatCode="#,##0.0;(#,##0.0);-"/>
    <x:numFmt numFmtId="207" formatCode="0.000;[Red](0.000);0.000"/>
    <x:numFmt numFmtId="208" formatCode="0.00"/>
    <x:numFmt numFmtId="209" formatCode="0.000x"/>
    <x:numFmt numFmtId="210" formatCode="#,##0.0"/>
    <x:numFmt numFmtId="211" formatCode="0"/>
    <x:numFmt numFmtId="212" formatCode="0.000000x"/>
    <x:numFmt numFmtId="213" formatCode="#,##0;[Red](#,##0);-"/>
    <x:numFmt numFmtId="214" formatCode="mmm-yy"/>
    <x:numFmt numFmtId="215" formatCode="0.0"/>
    <x:numFmt numFmtId="216" formatCode="0.00;[Red](0.00);0.00"/>
    <x:numFmt numFmtId="217" formatCode="yyyy-mm-dd"/>
    <x:numFmt numFmtId="218" formatCode="0;[Red](0);-"/>
    <x:numFmt numFmtId="219" formatCode="0.00;(0.00);0.00"/>
  </x:numFmts>
  <x:fonts count="18">
    <x:font>
      <x:sz val="11"/>
      <x:name val="Carlito"/>
    </x:font>
    <x:font>
      <x:sz val="10"/>
      <x:color rgb="FF1F2937"/>
      <x:name val="Arial"/>
    </x:font>
    <x:font>
      <x:b/>
      <x:sz val="15"/>
      <x:color rgb="FF17365D"/>
      <x:name val="Arial"/>
    </x:font>
    <x:font>
      <x:i/>
      <x:sz val="10"/>
      <x:color rgb="FF666666"/>
      <x:name val="Arial"/>
    </x:font>
    <x:font>
      <x:b/>
      <x:sz val="10"/>
      <x:color rgb="FF0000FF"/>
      <x:name val="Arial"/>
    </x:font>
    <x:font>
      <x:b/>
      <x:sz val="10"/>
      <x:color rgb="FF008000"/>
      <x:name val="Arial"/>
    </x:font>
    <x:font>
      <x:b/>
      <x:sz val="10"/>
      <x:color rgb="FFFFFFFF"/>
      <x:name val="Arial"/>
    </x:font>
    <x:font>
      <x:b/>
      <x:sz val="10"/>
      <x:color rgb="FF17365D"/>
      <x:name val="Arial"/>
    </x:font>
    <x:font>
      <x:sz val="10"/>
      <x:color rgb="FF0000FF"/>
      <x:name val="Arial"/>
    </x:font>
    <x:font>
      <x:b/>
      <x:sz val="9"/>
      <x:color rgb="FF4B5563"/>
      <x:name val="Arial"/>
    </x:font>
    <x:font>
      <x:i/>
      <x:sz val="9"/>
      <x:color rgb="FF666666"/>
      <x:name val="Arial"/>
    </x:font>
    <x:font>
      <x:sz val="9"/>
      <x:color rgb="FF4B5563"/>
      <x:name val="Arial"/>
    </x:font>
    <x:font>
      <x:sz val="10"/>
      <x:color rgb="FF008000"/>
      <x:name val="Arial"/>
    </x:font>
    <x:font>
      <x:i/>
      <x:sz val="9"/>
      <x:color rgb="FF4B5563"/>
      <x:name val="Arial"/>
    </x:font>
    <x:font>
      <x:i/>
      <x:sz val="10"/>
      <x:color rgb="FF1F2937"/>
      <x:name val="Arial"/>
    </x:font>
    <x:font>
      <x:sz val="9"/>
      <x:color rgb="FF1F2937"/>
      <x:name val="Arial"/>
    </x:font>
    <x:font>
      <x:b/>
      <x:sz val="9"/>
      <x:color rgb="FF17365D"/>
      <x:name val="Arial"/>
    </x:font>
    <x:font>
      <x:sz val="9"/>
      <x:color rgb="FFC00000"/>
      <x:name val="Arial"/>
    </x:font>
  </x:fonts>
  <x:fills count="8">
    <x:fill>
      <x:patternFill patternType="none"/>
    </x:fill>
    <x:fill>
      <x:patternFill patternType="gray125"/>
    </x:fill>
    <x:fill>
      <x:patternFill patternType="solid">
        <x:fgColor rgb="FFFFF2CC"/>
      </x:patternFill>
    </x:fill>
    <x:fill>
      <x:patternFill patternType="solid">
        <x:fgColor rgb="FF17365D"/>
      </x:patternFill>
    </x:fill>
    <x:fill>
      <x:patternFill patternType="solid">
        <x:fgColor rgb="FFD9EAF7"/>
      </x:patternFill>
    </x:fill>
    <x:fill>
      <x:patternFill patternType="solid">
        <x:fgColor rgb="FFF2E6D5"/>
      </x:patternFill>
    </x:fill>
    <x:fill>
      <x:patternFill patternType="solid">
        <x:fgColor rgb="FFF8FAFC"/>
      </x:patternFill>
    </x:fill>
    <x:fill>
      <x:patternFill patternType="solid">
        <x:fgColor rgb="FF1F4E78"/>
      </x:patternFill>
    </x:fill>
  </x:fills>
  <x:borders count="19">
    <x:border/>
    <x:border>
      <x:bottom style="thin">
        <x:color rgb="FF9EADBA"/>
      </x:bottom>
    </x:border>
    <x:border>
      <x:left style="dashed">
        <x:color rgb="FF17365D"/>
      </x:left>
      <x:right style="dashed">
        <x:color rgb="FF17365D"/>
      </x:right>
      <x:top style="dashed">
        <x:color rgb="FF17365D"/>
      </x:top>
      <x:bottom style="dashed">
        <x:color rgb="FF17365D"/>
      </x:bottom>
    </x:border>
    <x:border>
      <x:right style="thin">
        <x:color rgb="FFFFFFFF"/>
      </x:right>
      <x:bottom style="thin">
        <x:color rgb="FF17365D"/>
      </x:bottom>
    </x:border>
    <x:border>
      <x:left style="thin">
        <x:color rgb="FFFFFFFF"/>
      </x:left>
      <x:right style="thin">
        <x:color rgb="FFFFFFFF"/>
      </x:right>
      <x:bottom style="thin">
        <x:color rgb="FF17365D"/>
      </x:bottom>
    </x:border>
    <x:border>
      <x:left style="thin">
        <x:color rgb="FFFFFFFF"/>
      </x:left>
      <x:bottom style="thin">
        <x:color rgb="FF17365D"/>
      </x:bottom>
    </x:border>
    <x:border>
      <x:left style="thin">
        <x:color rgb="FF9EADBA"/>
      </x:left>
      <x:top style="thin">
        <x:color rgb="FF9EADBA"/>
      </x:top>
      <x:bottom style="thin">
        <x:color rgb="FF9EADBA"/>
      </x:bottom>
    </x:border>
    <x:border>
      <x:top style="thin">
        <x:color rgb="FF9EADBA"/>
      </x:top>
      <x:bottom style="thin">
        <x:color rgb="FF9EADBA"/>
      </x:bottom>
    </x:border>
    <x:border>
      <x:right style="thin">
        <x:color rgb="FF9EADBA"/>
      </x:right>
      <x:top style="thin">
        <x:color rgb="FF9EADBA"/>
      </x:top>
      <x:bottom style="thin">
        <x:color rgb="FF9EADBA"/>
      </x:bottom>
    </x:border>
    <x:border>
      <x:bottom style="thin">
        <x:color rgb="FF17365D"/>
      </x:bottom>
    </x:border>
    <x:border>
      <x:bottom style="double">
        <x:color rgb="FF17365D"/>
      </x:bottom>
    </x:border>
    <x:border>
      <x:left style="thin">
        <x:color rgb="FFCBD5E1"/>
      </x:left>
      <x:top style="thin">
        <x:color rgb="FFCBD5E1"/>
      </x:top>
    </x:border>
    <x:border>
      <x:top style="thin">
        <x:color rgb="FFCBD5E1"/>
      </x:top>
    </x:border>
    <x:border>
      <x:right style="thin">
        <x:color rgb="FFCBD5E1"/>
      </x:right>
      <x:top style="thin">
        <x:color rgb="FFCBD5E1"/>
      </x:top>
    </x:border>
    <x:border>
      <x:left style="thin">
        <x:color rgb="FFCBD5E1"/>
      </x:left>
    </x:border>
    <x:border>
      <x:right style="thin">
        <x:color rgb="FFCBD5E1"/>
      </x:right>
    </x:border>
    <x:border>
      <x:left style="thin">
        <x:color rgb="FFCBD5E1"/>
      </x:left>
      <x:bottom style="thin">
        <x:color rgb="FFCBD5E1"/>
      </x:bottom>
    </x:border>
    <x:border>
      <x:bottom style="thin">
        <x:color rgb="FFCBD5E1"/>
      </x:bottom>
    </x:border>
    <x:border>
      <x:right style="thin">
        <x:color rgb="FFCBD5E1"/>
      </x:right>
      <x:bottom style="thin">
        <x:color rgb="FFCBD5E1"/>
      </x:bottom>
    </x:border>
  </x:borders>
  <x:cellStyleXfs count="1">
    <x:xf numFmtId="0" fontId="0" fillId="0" borderId="0"/>
  </x:cellStyleXfs>
  <x:cellXfs count="156">
    <x:xf numFmtId="0" fontId="0" fillId="0" borderId="0" xfId="0"/>
    <x:xf numFmtId="0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vertical="center"/>
    </x:xf>
    <x:xf numFmtId="0" fontId="2" fillId="0" borderId="0" xfId="0" applyNumberFormat="1" applyFont="1" applyFill="1" applyBorder="1" applyAlignment="1">
      <x:alignment vertical="center"/>
    </x:xf>
    <x:xf numFmtId="0" fontId="3" fillId="0" borderId="0" xfId="0" applyNumberFormat="1" applyFont="1" applyFill="1" applyBorder="1" applyAlignment="1">
      <x:alignment vertical="center"/>
    </x:xf>
    <x:xf numFmtId="0" fontId="1" fillId="0" borderId="1" xfId="0" applyNumberFormat="1" applyFont="1" applyFill="1" applyBorder="1" applyAlignment="1">
      <x:alignment vertical="center"/>
    </x:xf>
    <x:xf numFmtId="0" fontId="0" fillId="0" borderId="1" xfId="0" applyNumberFormat="1" applyFont="1" applyFill="1" applyBorder="1"/>
    <x:xf numFmtId="0" fontId="1" fillId="2" borderId="0" xfId="0" applyNumberFormat="1" applyFont="1" applyFill="1" applyBorder="1" applyAlignment="1">
      <x:alignment vertical="center"/>
    </x:xf>
    <x:xf numFmtId="0" fontId="4" fillId="2" borderId="0" xfId="0" applyNumberFormat="1" applyFont="1" applyFill="1" applyBorder="1" applyAlignment="1">
      <x:alignment vertical="center"/>
    </x:xf>
    <x:xf numFmtId="0" fontId="4" fillId="2" borderId="2" xfId="0" applyNumberFormat="1" applyFont="1" applyFill="1" applyBorder="1" applyAlignment="1">
      <x:alignment vertical="center"/>
    </x:xf>
    <x:xf numFmtId="0" fontId="4" fillId="2" borderId="2" xfId="0" applyNumberFormat="1" applyFont="1" applyFill="1" applyBorder="1" applyAlignment="1">
      <x:alignment horizontal="center" vertical="center"/>
    </x:xf>
    <x:xf numFmtId="0" fontId="5" fillId="0" borderId="0" xfId="0" applyNumberFormat="1" applyFont="1" applyFill="1" applyBorder="1" applyAlignment="1">
      <x:alignment vertical="center"/>
    </x:xf>
    <x:xf numFmtId="0" fontId="5" fillId="0" borderId="0" xfId="0" applyNumberFormat="1" applyFont="1" applyFill="1" applyBorder="1" applyAlignment="1">
      <x:alignment horizontal="center" vertical="center"/>
    </x:xf>
    <x:xf numFmtId="0" fontId="1" fillId="3" borderId="0" xfId="0" applyNumberFormat="1" applyFont="1" applyFill="1" applyBorder="1" applyAlignment="1">
      <x:alignment vertical="center"/>
    </x:xf>
    <x:xf numFmtId="0" fontId="6" fillId="3" borderId="0" xfId="0" applyNumberFormat="1" applyFont="1" applyFill="1" applyBorder="1" applyAlignment="1">
      <x:alignment vertical="center"/>
    </x:xf>
    <x:xf numFmtId="0" fontId="6" fillId="3" borderId="3" xfId="0" applyNumberFormat="1" applyFont="1" applyFill="1" applyBorder="1" applyAlignment="1">
      <x:alignment vertical="center"/>
    </x:xf>
    <x:xf numFmtId="0" fontId="6" fillId="3" borderId="4" xfId="0" applyNumberFormat="1" applyFont="1" applyFill="1" applyBorder="1" applyAlignment="1">
      <x:alignment vertical="center"/>
    </x:xf>
    <x:xf numFmtId="0" fontId="6" fillId="3" borderId="5" xfId="0" applyNumberFormat="1" applyFont="1" applyFill="1" applyBorder="1" applyAlignment="1">
      <x:alignment vertical="center"/>
    </x:xf>
    <x:xf numFmtId="0" fontId="6" fillId="3" borderId="3" xfId="0" applyNumberFormat="1" applyFont="1" applyFill="1" applyBorder="1" applyAlignment="1">
      <x:alignment vertical="center" wrapText="1"/>
    </x:xf>
    <x:xf numFmtId="0" fontId="6" fillId="3" borderId="4" xfId="0" applyNumberFormat="1" applyFont="1" applyFill="1" applyBorder="1" applyAlignment="1">
      <x:alignment vertical="center" wrapText="1"/>
    </x:xf>
    <x:xf numFmtId="0" fontId="6" fillId="3" borderId="5" xfId="0" applyNumberFormat="1" applyFont="1" applyFill="1" applyBorder="1" applyAlignment="1">
      <x:alignment vertical="center" wrapText="1"/>
    </x:xf>
    <x:xf numFmtId="0" fontId="6" fillId="3" borderId="3" xfId="0" applyNumberFormat="1" applyFont="1" applyFill="1" applyBorder="1" applyAlignment="1">
      <x:alignment horizontal="center" vertical="center" wrapText="1"/>
    </x:xf>
    <x:xf numFmtId="0" fontId="6" fillId="3" borderId="4" xfId="0" applyNumberFormat="1" applyFont="1" applyFill="1" applyBorder="1" applyAlignment="1">
      <x:alignment horizontal="center" vertical="center" wrapText="1"/>
    </x:xf>
    <x:xf numFmtId="0" fontId="6" fillId="3" borderId="5" xfId="0" applyNumberFormat="1" applyFont="1" applyFill="1" applyBorder="1" applyAlignment="1">
      <x:alignment horizontal="center" vertical="center" wrapText="1"/>
    </x:xf>
    <x:xf numFmtId="0" fontId="1" fillId="4" borderId="0" xfId="0" applyNumberFormat="1" applyFont="1" applyFill="1" applyBorder="1" applyAlignment="1">
      <x:alignment vertical="center"/>
    </x:xf>
    <x:xf numFmtId="0" fontId="7" fillId="4" borderId="0" xfId="0" applyNumberFormat="1" applyFont="1" applyFill="1" applyBorder="1" applyAlignment="1">
      <x:alignment vertical="center"/>
    </x:xf>
    <x:xf numFmtId="0" fontId="7" fillId="4" borderId="1" xfId="0" applyNumberFormat="1" applyFont="1" applyFill="1" applyBorder="1" applyAlignment="1">
      <x:alignment vertical="center"/>
    </x:xf>
    <x:xf numFmtId="0" fontId="5" fillId="4" borderId="1" xfId="0" applyNumberFormat="1" applyFont="1" applyFill="1" applyBorder="1" applyAlignment="1">
      <x:alignment vertical="center"/>
    </x:xf>
    <x:xf numFmtId="0" fontId="8" fillId="0" borderId="0" xfId="0" applyNumberFormat="1" applyFont="1" applyFill="1" applyBorder="1" applyAlignment="1">
      <x:alignment vertical="center"/>
    </x:xf>
    <x:xf numFmtId="200" fontId="5" fillId="4" borderId="1" xfId="0" applyNumberFormat="1" applyFont="1" applyFill="1" applyBorder="1" applyAlignment="1">
      <x:alignment vertical="center"/>
    </x:xf>
    <x:xf numFmtId="200" fontId="8" fillId="0" borderId="0" xfId="0" applyNumberFormat="1" applyFont="1" applyFill="1" applyBorder="1" applyAlignment="1">
      <x:alignment vertical="center"/>
    </x:xf>
    <x:xf numFmtId="0" fontId="9" fillId="4" borderId="1" xfId="0" applyNumberFormat="1" applyFont="1" applyFill="1" applyBorder="1" applyAlignment="1">
      <x:alignment vertical="center"/>
    </x:xf>
    <x:xf numFmtId="0" fontId="9" fillId="4" borderId="1" xfId="0" applyNumberFormat="1" applyFont="1" applyFill="1" applyBorder="1" applyAlignment="1">
      <x:alignment vertical="center" wrapText="1"/>
    </x:xf>
    <x:xf numFmtId="0" fontId="9" fillId="4" borderId="1" xfId="0" applyNumberFormat="1" applyFont="1" applyFill="1" applyBorder="1" applyAlignment="1">
      <x:alignment vertical="top" wrapText="1"/>
    </x:xf>
    <x:xf numFmtId="0" fontId="10" fillId="0" borderId="0" xfId="0" applyNumberFormat="1" applyFont="1" applyFill="1" applyBorder="1" applyAlignment="1">
      <x:alignment vertical="center"/>
    </x:xf>
    <x:xf numFmtId="0" fontId="7" fillId="4" borderId="6" xfId="0" applyNumberFormat="1" applyFont="1" applyFill="1" applyBorder="1" applyAlignment="1">
      <x:alignment vertical="center"/>
    </x:xf>
    <x:xf numFmtId="0" fontId="7" fillId="4" borderId="7" xfId="0" applyNumberFormat="1" applyFont="1" applyFill="1" applyBorder="1" applyAlignment="1">
      <x:alignment vertical="center"/>
    </x:xf>
    <x:xf numFmtId="0" fontId="7" fillId="4" borderId="8" xfId="0" applyNumberFormat="1" applyFont="1" applyFill="1" applyBorder="1" applyAlignment="1">
      <x:alignment vertical="center"/>
    </x:xf>
    <x:xf numFmtId="0" fontId="6" fillId="3" borderId="9" xfId="0" applyNumberFormat="1" applyFont="1" applyFill="1" applyBorder="1" applyAlignment="1">
      <x:alignment vertical="center"/>
    </x:xf>
    <x:xf numFmtId="0" fontId="6" fillId="3" borderId="9" xfId="0" applyNumberFormat="1" applyFont="1" applyFill="1" applyBorder="1" applyAlignment="1">
      <x:alignment vertical="center" wrapText="1"/>
    </x:xf>
    <x:xf numFmtId="0" fontId="6" fillId="3" borderId="9" xfId="0" applyNumberFormat="1" applyFont="1" applyFill="1" applyBorder="1" applyAlignment="1">
      <x:alignment horizontal="center" vertical="center" wrapText="1"/>
    </x:xf>
    <x:xf numFmtId="201" fontId="1" fillId="0" borderId="0" xfId="0" applyNumberFormat="1" applyFont="1" applyFill="1" applyBorder="1" applyAlignment="1">
      <x:alignment vertical="center"/>
    </x:xf>
    <x:xf numFmtId="201" fontId="8" fillId="0" borderId="0" xfId="0" applyNumberFormat="1" applyFont="1" applyFill="1" applyBorder="1" applyAlignment="1">
      <x:alignment vertical="center"/>
    </x:xf>
    <x:xf numFmtId="202" fontId="8" fillId="0" borderId="0" xfId="0" applyNumberFormat="1" applyFont="1" applyFill="1" applyBorder="1" applyAlignment="1">
      <x:alignment vertical="center"/>
    </x:xf>
    <x:xf numFmtId="203" fontId="8" fillId="0" borderId="0" xfId="0" applyNumberFormat="1" applyFont="1" applyFill="1" applyBorder="1" applyAlignment="1">
      <x:alignment vertical="center"/>
    </x:xf>
    <x:xf numFmtId="204" fontId="8" fillId="0" borderId="0" xfId="0" applyNumberFormat="1" applyFont="1" applyFill="1" applyBorder="1" applyAlignment="1">
      <x:alignment vertical="center"/>
    </x:xf>
    <x:xf numFmtId="0" fontId="11" fillId="0" borderId="0" xfId="0" applyNumberFormat="1" applyFont="1" applyFill="1" applyBorder="1" applyAlignment="1">
      <x:alignment vertical="center"/>
    </x:xf>
    <x:xf numFmtId="0" fontId="11" fillId="0" borderId="0" xfId="0" applyNumberFormat="1" applyFont="1" applyFill="1" applyBorder="1" applyAlignment="1">
      <x:alignment vertical="center" wrapText="1"/>
    </x:xf>
    <x:xf numFmtId="0" fontId="11" fillId="0" borderId="0" xfId="0" applyNumberFormat="1" applyFont="1" applyFill="1" applyBorder="1" applyAlignment="1">
      <x:alignment vertical="top" wrapText="1"/>
    </x:xf>
    <x:xf numFmtId="200" fontId="1" fillId="0" borderId="0" xfId="0" applyNumberFormat="1" applyFont="1" applyFill="1" applyBorder="1" applyAlignment="1">
      <x:alignment vertical="center"/>
    </x:xf>
    <x:xf numFmtId="205" fontId="1" fillId="0" borderId="0" xfId="0" applyNumberFormat="1" applyFont="1" applyFill="1" applyBorder="1" applyAlignment="1">
      <x:alignment vertical="center"/>
    </x:xf>
    <x:xf numFmtId="205" fontId="8" fillId="0" borderId="0" xfId="0" applyNumberFormat="1" applyFont="1" applyFill="1" applyBorder="1" applyAlignment="1">
      <x:alignment vertical="center"/>
    </x:xf>
    <x:xf numFmtId="206" fontId="8" fillId="0" borderId="0" xfId="0" applyNumberFormat="1" applyFont="1" applyFill="1" applyBorder="1" applyAlignment="1">
      <x:alignment vertical="center"/>
    </x:xf>
    <x:xf numFmtId="206" fontId="1" fillId="0" borderId="0" xfId="0" applyNumberFormat="1" applyFont="1" applyFill="1" applyBorder="1" applyAlignment="1">
      <x:alignment vertical="center"/>
    </x:xf>
    <x:xf numFmtId="207" fontId="1" fillId="0" borderId="0" xfId="0" applyNumberFormat="1" applyFont="1" applyFill="1" applyBorder="1" applyAlignment="1">
      <x:alignment vertical="center"/>
    </x:xf>
    <x:xf numFmtId="0" fontId="1" fillId="0" borderId="0" xfId="0" applyNumberFormat="1" applyFont="1" applyFill="1" applyBorder="1" applyAlignment="1">
      <x:alignment vertical="center" wrapText="1"/>
    </x:xf>
    <x:xf numFmtId="0" fontId="12" fillId="0" borderId="0" xfId="0" applyNumberFormat="1" applyFont="1" applyFill="1" applyBorder="1" applyAlignment="1">
      <x:alignment vertical="center"/>
    </x:xf>
    <x:xf numFmtId="206" fontId="12" fillId="0" borderId="0" xfId="0" applyNumberFormat="1" applyFont="1" applyFill="1" applyBorder="1" applyAlignment="1">
      <x:alignment vertical="center"/>
    </x:xf>
    <x:xf numFmtId="0" fontId="1" fillId="0" borderId="10" xfId="0" applyNumberFormat="1" applyFont="1" applyFill="1" applyBorder="1" applyAlignment="1">
      <x:alignment vertical="center"/>
    </x:xf>
    <x:xf numFmtId="206" fontId="1" fillId="0" borderId="10" xfId="0" applyNumberFormat="1" applyFont="1" applyFill="1" applyBorder="1" applyAlignment="1">
      <x:alignment vertical="center"/>
    </x:xf>
    <x:xf numFmtId="206" fontId="8" fillId="0" borderId="10" xfId="0" applyNumberFormat="1" applyFont="1" applyFill="1" applyBorder="1" applyAlignment="1">
      <x:alignment vertical="center"/>
    </x:xf>
    <x:xf numFmtId="200" fontId="12" fillId="0" borderId="0" xfId="0" applyNumberFormat="1" applyFont="1" applyFill="1" applyBorder="1" applyAlignment="1">
      <x:alignment vertical="center"/>
    </x:xf>
    <x:xf numFmtId="202" fontId="1" fillId="0" borderId="0" xfId="0" applyNumberFormat="1" applyFont="1" applyFill="1" applyBorder="1" applyAlignment="1">
      <x:alignment vertical="center"/>
    </x:xf>
    <x:xf numFmtId="203" fontId="1" fillId="0" borderId="0" xfId="0" applyNumberFormat="1" applyFont="1" applyFill="1" applyBorder="1" applyAlignment="1">
      <x:alignment vertical="center"/>
    </x:xf>
    <x:xf numFmtId="201" fontId="12" fillId="0" borderId="0" xfId="0" applyNumberFormat="1" applyFont="1" applyFill="1" applyBorder="1" applyAlignment="1">
      <x:alignment vertical="center"/>
    </x:xf>
    <x:xf numFmtId="202" fontId="12" fillId="0" borderId="0" xfId="0" applyNumberFormat="1" applyFont="1" applyFill="1" applyBorder="1" applyAlignment="1">
      <x:alignment vertical="center"/>
    </x:xf>
    <x:xf numFmtId="203" fontId="12" fillId="0" borderId="0" xfId="0" applyNumberFormat="1" applyFont="1" applyFill="1" applyBorder="1" applyAlignment="1">
      <x:alignment vertical="center"/>
    </x:xf>
    <x:xf numFmtId="208" fontId="1" fillId="0" borderId="0" xfId="0" applyNumberFormat="1" applyFont="1" applyFill="1" applyBorder="1" applyAlignment="1">
      <x:alignment vertical="center"/>
    </x:xf>
    <x:xf numFmtId="209" fontId="1" fillId="0" borderId="0" xfId="0" applyNumberFormat="1" applyFont="1" applyFill="1" applyBorder="1" applyAlignment="1">
      <x:alignment vertical="center"/>
    </x:xf>
    <x:xf numFmtId="204" fontId="1" fillId="0" borderId="0" xfId="0" applyNumberFormat="1" applyFont="1" applyFill="1" applyBorder="1" applyAlignment="1">
      <x:alignment vertical="center"/>
    </x:xf>
    <x:xf numFmtId="0" fontId="7" fillId="0" borderId="0" xfId="0" applyNumberFormat="1" applyFont="1" applyFill="1" applyBorder="1" applyAlignment="1">
      <x:alignment vertical="center"/>
    </x:xf>
    <x:xf numFmtId="204" fontId="7" fillId="0" borderId="0" xfId="0" applyNumberFormat="1" applyFont="1" applyFill="1" applyBorder="1" applyAlignment="1">
      <x:alignment vertical="center"/>
    </x:xf>
    <x:xf numFmtId="200" fontId="7" fillId="0" borderId="0" xfId="0" applyNumberFormat="1" applyFont="1" applyFill="1" applyBorder="1" applyAlignment="1">
      <x:alignment vertical="center"/>
    </x:xf>
    <x:xf numFmtId="0" fontId="9" fillId="0" borderId="0" xfId="0" applyNumberFormat="1" applyFont="1" applyFill="1" applyBorder="1" applyAlignment="1">
      <x:alignment vertical="center"/>
    </x:xf>
    <x:xf numFmtId="0" fontId="9" fillId="0" borderId="0" xfId="0" applyNumberFormat="1" applyFont="1" applyFill="1" applyBorder="1" applyAlignment="1">
      <x:alignment vertical="center" wrapText="1"/>
    </x:xf>
    <x:xf numFmtId="204" fontId="1" fillId="4" borderId="0" xfId="0" applyNumberFormat="1" applyFont="1" applyFill="1" applyBorder="1" applyAlignment="1">
      <x:alignment vertical="center"/>
    </x:xf>
    <x:xf numFmtId="204" fontId="7" fillId="4" borderId="0" xfId="0" applyNumberFormat="1" applyFont="1" applyFill="1" applyBorder="1" applyAlignment="1">
      <x:alignment vertical="center"/>
    </x:xf>
    <x:xf numFmtId="0" fontId="7" fillId="4" borderId="10" xfId="0" applyNumberFormat="1" applyFont="1" applyFill="1" applyBorder="1" applyAlignment="1">
      <x:alignment vertical="center"/>
    </x:xf>
    <x:xf numFmtId="204" fontId="7" fillId="4" borderId="10" xfId="0" applyNumberFormat="1" applyFont="1" applyFill="1" applyBorder="1" applyAlignment="1">
      <x:alignment vertical="center"/>
    </x:xf>
    <x:xf numFmtId="204" fontId="1" fillId="0" borderId="10" xfId="0" applyNumberFormat="1" applyFont="1" applyFill="1" applyBorder="1" applyAlignment="1">
      <x:alignment vertical="center"/>
    </x:xf>
    <x:xf numFmtId="0" fontId="11" fillId="0" borderId="10" xfId="0" applyNumberFormat="1" applyFont="1" applyFill="1" applyBorder="1" applyAlignment="1">
      <x:alignment vertical="center"/>
    </x:xf>
    <x:xf numFmtId="0" fontId="11" fillId="0" borderId="10" xfId="0" applyNumberFormat="1" applyFont="1" applyFill="1" applyBorder="1" applyAlignment="1">
      <x:alignment vertical="center" wrapText="1"/>
    </x:xf>
    <x:xf numFmtId="210" fontId="1" fillId="0" borderId="0" xfId="0" applyNumberFormat="1" applyFont="1" applyFill="1" applyBorder="1" applyAlignment="1">
      <x:alignment vertical="center"/>
    </x:xf>
    <x:xf numFmtId="210" fontId="1" fillId="4" borderId="0" xfId="0" applyNumberFormat="1" applyFont="1" applyFill="1" applyBorder="1" applyAlignment="1">
      <x:alignment vertical="center"/>
    </x:xf>
    <x:xf numFmtId="200" fontId="1" fillId="4" borderId="0" xfId="0" applyNumberFormat="1" applyFont="1" applyFill="1" applyBorder="1" applyAlignment="1">
      <x:alignment vertical="center"/>
    </x:xf>
    <x:xf numFmtId="205" fontId="1" fillId="4" borderId="0" xfId="0" applyNumberFormat="1" applyFont="1" applyFill="1" applyBorder="1" applyAlignment="1">
      <x:alignment vertical="center"/>
    </x:xf>
    <x:xf numFmtId="210" fontId="7" fillId="4" borderId="0" xfId="0" applyNumberFormat="1" applyFont="1" applyFill="1" applyBorder="1" applyAlignment="1">
      <x:alignment vertical="center"/>
    </x:xf>
    <x:xf numFmtId="200" fontId="7" fillId="4" borderId="0" xfId="0" applyNumberFormat="1" applyFont="1" applyFill="1" applyBorder="1" applyAlignment="1">
      <x:alignment vertical="center"/>
    </x:xf>
    <x:xf numFmtId="205" fontId="7" fillId="4" borderId="0" xfId="0" applyNumberFormat="1" applyFont="1" applyFill="1" applyBorder="1" applyAlignment="1">
      <x:alignment vertical="center"/>
    </x:xf>
    <x:xf numFmtId="210" fontId="7" fillId="4" borderId="10" xfId="0" applyNumberFormat="1" applyFont="1" applyFill="1" applyBorder="1" applyAlignment="1">
      <x:alignment vertical="center"/>
    </x:xf>
    <x:xf numFmtId="200" fontId="7" fillId="4" borderId="10" xfId="0" applyNumberFormat="1" applyFont="1" applyFill="1" applyBorder="1" applyAlignment="1">
      <x:alignment vertical="center"/>
    </x:xf>
    <x:xf numFmtId="205" fontId="7" fillId="4" borderId="10" xfId="0" applyNumberFormat="1" applyFont="1" applyFill="1" applyBorder="1" applyAlignment="1">
      <x:alignment vertical="center"/>
    </x:xf>
    <x:xf numFmtId="0" fontId="10" fillId="0" borderId="0" xfId="0" applyNumberFormat="1" applyFont="1" applyFill="1" applyBorder="1" applyAlignment="1">
      <x:alignment vertical="center" wrapText="1"/>
    </x:xf>
    <x:xf numFmtId="0" fontId="10" fillId="0" borderId="0" xfId="0" applyNumberFormat="1" applyFont="1" applyFill="1" applyBorder="1" applyAlignment="1">
      <x:alignment vertical="top" wrapText="1"/>
    </x:xf>
    <x:xf numFmtId="205" fontId="7" fillId="0" borderId="0" xfId="0" applyNumberFormat="1" applyFont="1" applyFill="1" applyBorder="1" applyAlignment="1">
      <x:alignment vertical="center"/>
    </x:xf>
    <x:xf numFmtId="0" fontId="7" fillId="0" borderId="0" xfId="0" applyNumberFormat="1" applyFont="1" applyFill="1" applyBorder="1" applyAlignment="1">
      <x:alignment vertical="center" wrapText="1"/>
    </x:xf>
    <x:xf numFmtId="0" fontId="1" fillId="5" borderId="0" xfId="0" applyNumberFormat="1" applyFont="1" applyFill="1" applyBorder="1" applyAlignment="1">
      <x:alignment vertical="center"/>
    </x:xf>
    <x:xf numFmtId="204" fontId="1" fillId="5" borderId="0" xfId="0" applyNumberFormat="1" applyFont="1" applyFill="1" applyBorder="1" applyAlignment="1">
      <x:alignment vertical="center"/>
    </x:xf>
    <x:xf numFmtId="205" fontId="1" fillId="5" borderId="0" xfId="0" applyNumberFormat="1" applyFont="1" applyFill="1" applyBorder="1" applyAlignment="1">
      <x:alignment vertical="center"/>
    </x:xf>
    <x:xf numFmtId="200" fontId="1" fillId="5" borderId="0" xfId="0" applyNumberFormat="1" applyFont="1" applyFill="1" applyBorder="1" applyAlignment="1">
      <x:alignment vertical="center"/>
    </x:xf>
    <x:xf numFmtId="0" fontId="7" fillId="5" borderId="0" xfId="0" applyNumberFormat="1" applyFont="1" applyFill="1" applyBorder="1" applyAlignment="1">
      <x:alignment vertical="center"/>
    </x:xf>
    <x:xf numFmtId="204" fontId="7" fillId="5" borderId="0" xfId="0" applyNumberFormat="1" applyFont="1" applyFill="1" applyBorder="1" applyAlignment="1">
      <x:alignment vertical="center"/>
    </x:xf>
    <x:xf numFmtId="205" fontId="7" fillId="5" borderId="0" xfId="0" applyNumberFormat="1" applyFont="1" applyFill="1" applyBorder="1" applyAlignment="1">
      <x:alignment vertical="center"/>
    </x:xf>
    <x:xf numFmtId="200" fontId="7" fillId="5" borderId="0" xfId="0" applyNumberFormat="1" applyFont="1" applyFill="1" applyBorder="1" applyAlignment="1">
      <x:alignment vertical="center"/>
    </x:xf>
    <x:xf numFmtId="211" fontId="1" fillId="0" borderId="0" xfId="0" applyNumberFormat="1" applyFont="1" applyFill="1" applyBorder="1" applyAlignment="1">
      <x:alignment vertical="center"/>
    </x:xf>
    <x:xf numFmtId="212" fontId="1" fillId="0" borderId="0" xfId="0" applyNumberFormat="1" applyFont="1" applyFill="1" applyBorder="1" applyAlignment="1">
      <x:alignment vertical="center"/>
    </x:xf>
    <x:xf numFmtId="213" fontId="1" fillId="0" borderId="0" xfId="0" applyNumberFormat="1" applyFont="1" applyFill="1" applyBorder="1" applyAlignment="1">
      <x:alignment vertical="center"/>
    </x:xf>
    <x:xf numFmtId="214" fontId="1" fillId="0" borderId="0" xfId="0" applyNumberFormat="1" applyFont="1" applyFill="1" applyBorder="1" applyAlignment="1">
      <x:alignment vertical="center"/>
    </x:xf>
    <x:xf numFmtId="215" fontId="1" fillId="0" borderId="0" xfId="0" applyNumberFormat="1" applyFont="1" applyFill="1" applyBorder="1" applyAlignment="1">
      <x:alignment vertical="center"/>
    </x:xf>
    <x:xf numFmtId="204" fontId="8" fillId="4" borderId="0" xfId="0" applyNumberFormat="1" applyFont="1" applyFill="1" applyBorder="1" applyAlignment="1">
      <x:alignment vertical="center"/>
    </x:xf>
    <x:xf numFmtId="215" fontId="1" fillId="4" borderId="0" xfId="0" applyNumberFormat="1" applyFont="1" applyFill="1" applyBorder="1" applyAlignment="1">
      <x:alignment vertical="center"/>
    </x:xf>
    <x:xf numFmtId="215" fontId="7" fillId="4" borderId="0" xfId="0" applyNumberFormat="1" applyFont="1" applyFill="1" applyBorder="1" applyAlignment="1">
      <x:alignment vertical="center"/>
    </x:xf>
    <x:xf numFmtId="0" fontId="1" fillId="6" borderId="0" xfId="0" applyNumberFormat="1" applyFont="1" applyFill="1" applyBorder="1" applyAlignment="1">
      <x:alignment vertical="center"/>
    </x:xf>
    <x:xf numFmtId="0" fontId="13" fillId="6" borderId="0" xfId="0" applyNumberFormat="1" applyFont="1" applyFill="1" applyBorder="1" applyAlignment="1">
      <x:alignment vertical="center"/>
    </x:xf>
    <x:xf numFmtId="0" fontId="13" fillId="6" borderId="11" xfId="0" applyNumberFormat="1" applyFont="1" applyFill="1" applyBorder="1" applyAlignment="1">
      <x:alignment vertical="center"/>
    </x:xf>
    <x:xf numFmtId="0" fontId="13" fillId="6" borderId="12" xfId="0" applyNumberFormat="1" applyFont="1" applyFill="1" applyBorder="1" applyAlignment="1">
      <x:alignment vertical="center"/>
    </x:xf>
    <x:xf numFmtId="0" fontId="13" fillId="6" borderId="13" xfId="0" applyNumberFormat="1" applyFont="1" applyFill="1" applyBorder="1" applyAlignment="1">
      <x:alignment vertical="center"/>
    </x:xf>
    <x:xf numFmtId="0" fontId="13" fillId="6" borderId="14" xfId="0" applyNumberFormat="1" applyFont="1" applyFill="1" applyBorder="1" applyAlignment="1">
      <x:alignment vertical="center"/>
    </x:xf>
    <x:xf numFmtId="0" fontId="13" fillId="6" borderId="15" xfId="0" applyNumberFormat="1" applyFont="1" applyFill="1" applyBorder="1" applyAlignment="1">
      <x:alignment vertical="center"/>
    </x:xf>
    <x:xf numFmtId="0" fontId="13" fillId="6" borderId="16" xfId="0" applyNumberFormat="1" applyFont="1" applyFill="1" applyBorder="1" applyAlignment="1">
      <x:alignment vertical="center"/>
    </x:xf>
    <x:xf numFmtId="0" fontId="13" fillId="6" borderId="17" xfId="0" applyNumberFormat="1" applyFont="1" applyFill="1" applyBorder="1" applyAlignment="1">
      <x:alignment vertical="center"/>
    </x:xf>
    <x:xf numFmtId="0" fontId="13" fillId="6" borderId="18" xfId="0" applyNumberFormat="1" applyFont="1" applyFill="1" applyBorder="1" applyAlignment="1">
      <x:alignment vertical="center"/>
    </x:xf>
    <x:xf numFmtId="0" fontId="13" fillId="6" borderId="11" xfId="0" applyNumberFormat="1" applyFont="1" applyFill="1" applyBorder="1" applyAlignment="1">
      <x:alignment vertical="center" wrapText="1"/>
    </x:xf>
    <x:xf numFmtId="0" fontId="13" fillId="6" borderId="12" xfId="0" applyNumberFormat="1" applyFont="1" applyFill="1" applyBorder="1" applyAlignment="1">
      <x:alignment vertical="center" wrapText="1"/>
    </x:xf>
    <x:xf numFmtId="0" fontId="13" fillId="6" borderId="13" xfId="0" applyNumberFormat="1" applyFont="1" applyFill="1" applyBorder="1" applyAlignment="1">
      <x:alignment vertical="center" wrapText="1"/>
    </x:xf>
    <x:xf numFmtId="0" fontId="13" fillId="6" borderId="14" xfId="0" applyNumberFormat="1" applyFont="1" applyFill="1" applyBorder="1" applyAlignment="1">
      <x:alignment vertical="center" wrapText="1"/>
    </x:xf>
    <x:xf numFmtId="0" fontId="13" fillId="6" borderId="0" xfId="0" applyNumberFormat="1" applyFont="1" applyFill="1" applyBorder="1" applyAlignment="1">
      <x:alignment vertical="center" wrapText="1"/>
    </x:xf>
    <x:xf numFmtId="0" fontId="13" fillId="6" borderId="15" xfId="0" applyNumberFormat="1" applyFont="1" applyFill="1" applyBorder="1" applyAlignment="1">
      <x:alignment vertical="center" wrapText="1"/>
    </x:xf>
    <x:xf numFmtId="0" fontId="13" fillId="6" borderId="16" xfId="0" applyNumberFormat="1" applyFont="1" applyFill="1" applyBorder="1" applyAlignment="1">
      <x:alignment vertical="center" wrapText="1"/>
    </x:xf>
    <x:xf numFmtId="0" fontId="13" fillId="6" borderId="17" xfId="0" applyNumberFormat="1" applyFont="1" applyFill="1" applyBorder="1" applyAlignment="1">
      <x:alignment vertical="center" wrapText="1"/>
    </x:xf>
    <x:xf numFmtId="0" fontId="13" fillId="6" borderId="18" xfId="0" applyNumberFormat="1" applyFont="1" applyFill="1" applyBorder="1" applyAlignment="1">
      <x:alignment vertical="center" wrapText="1"/>
    </x:xf>
    <x:xf numFmtId="0" fontId="13" fillId="6" borderId="11" xfId="0" applyNumberFormat="1" applyFont="1" applyFill="1" applyBorder="1" applyAlignment="1">
      <x:alignment vertical="top" wrapText="1"/>
    </x:xf>
    <x:xf numFmtId="0" fontId="13" fillId="6" borderId="12" xfId="0" applyNumberFormat="1" applyFont="1" applyFill="1" applyBorder="1" applyAlignment="1">
      <x:alignment vertical="top" wrapText="1"/>
    </x:xf>
    <x:xf numFmtId="0" fontId="13" fillId="6" borderId="13" xfId="0" applyNumberFormat="1" applyFont="1" applyFill="1" applyBorder="1" applyAlignment="1">
      <x:alignment vertical="top" wrapText="1"/>
    </x:xf>
    <x:xf numFmtId="0" fontId="13" fillId="6" borderId="14" xfId="0" applyNumberFormat="1" applyFont="1" applyFill="1" applyBorder="1" applyAlignment="1">
      <x:alignment vertical="top" wrapText="1"/>
    </x:xf>
    <x:xf numFmtId="0" fontId="13" fillId="6" borderId="0" xfId="0" applyNumberFormat="1" applyFont="1" applyFill="1" applyBorder="1" applyAlignment="1">
      <x:alignment vertical="top" wrapText="1"/>
    </x:xf>
    <x:xf numFmtId="0" fontId="13" fillId="6" borderId="15" xfId="0" applyNumberFormat="1" applyFont="1" applyFill="1" applyBorder="1" applyAlignment="1">
      <x:alignment vertical="top" wrapText="1"/>
    </x:xf>
    <x:xf numFmtId="0" fontId="13" fillId="6" borderId="16" xfId="0" applyNumberFormat="1" applyFont="1" applyFill="1" applyBorder="1" applyAlignment="1">
      <x:alignment vertical="top" wrapText="1"/>
    </x:xf>
    <x:xf numFmtId="0" fontId="13" fillId="6" borderId="17" xfId="0" applyNumberFormat="1" applyFont="1" applyFill="1" applyBorder="1" applyAlignment="1">
      <x:alignment vertical="top" wrapText="1"/>
    </x:xf>
    <x:xf numFmtId="0" fontId="13" fillId="6" borderId="18" xfId="0" applyNumberFormat="1" applyFont="1" applyFill="1" applyBorder="1" applyAlignment="1">
      <x:alignment vertical="top" wrapText="1"/>
    </x:xf>
    <x:xf numFmtId="216" fontId="1" fillId="0" borderId="0" xfId="0" applyNumberFormat="1" applyFont="1" applyFill="1" applyBorder="1" applyAlignment="1">
      <x:alignment vertical="center"/>
    </x:xf>
    <x:xf numFmtId="0" fontId="14" fillId="0" borderId="0" xfId="0" applyNumberFormat="1" applyFont="1" applyFill="1" applyBorder="1" applyAlignment="1">
      <x:alignment vertical="center"/>
    </x:xf>
    <x:xf numFmtId="200" fontId="14" fillId="0" borderId="0" xfId="0" applyNumberFormat="1" applyFont="1" applyFill="1" applyBorder="1" applyAlignment="1">
      <x:alignment vertical="center"/>
    </x:xf>
    <x:xf numFmtId="0" fontId="6" fillId="7" borderId="4" xfId="0" applyNumberFormat="1" applyFont="1" applyFill="1" applyBorder="1" applyAlignment="1">
      <x:alignment horizontal="center" vertical="center" wrapText="1"/>
    </x:xf>
    <x:xf numFmtId="0" fontId="6" fillId="7" borderId="5" xfId="0" applyNumberFormat="1" applyFont="1" applyFill="1" applyBorder="1" applyAlignment="1">
      <x:alignment horizontal="center" vertical="center" wrapText="1"/>
    </x:xf>
    <x:xf numFmtId="0" fontId="15" fillId="0" borderId="0" xfId="0" applyNumberFormat="1" applyFont="1" applyFill="1" applyBorder="1" applyAlignment="1">
      <x:alignment vertical="center"/>
    </x:xf>
    <x:xf numFmtId="205" fontId="15" fillId="0" borderId="0" xfId="0" applyNumberFormat="1" applyFont="1" applyFill="1" applyBorder="1" applyAlignment="1">
      <x:alignment vertical="center"/>
    </x:xf>
    <x:xf numFmtId="0" fontId="15" fillId="4" borderId="0" xfId="0" applyNumberFormat="1" applyFont="1" applyFill="1" applyBorder="1" applyAlignment="1">
      <x:alignment vertical="center"/>
    </x:xf>
    <x:xf numFmtId="205" fontId="15" fillId="4" borderId="0" xfId="0" applyNumberFormat="1" applyFont="1" applyFill="1" applyBorder="1" applyAlignment="1">
      <x:alignment vertical="center"/>
    </x:xf>
    <x:xf numFmtId="0" fontId="16" fillId="4" borderId="0" xfId="0" applyNumberFormat="1" applyFont="1" applyFill="1" applyBorder="1" applyAlignment="1">
      <x:alignment vertical="center"/>
    </x:xf>
    <x:xf numFmtId="205" fontId="16" fillId="4" borderId="0" xfId="0" applyNumberFormat="1" applyFont="1" applyFill="1" applyBorder="1" applyAlignment="1">
      <x:alignment vertical="center"/>
    </x:xf>
    <x:xf numFmtId="217" fontId="1" fillId="0" borderId="0" xfId="0" applyNumberFormat="1" applyFont="1" applyFill="1" applyBorder="1" applyAlignment="1">
      <x:alignment vertical="center"/>
    </x:xf>
    <x:xf numFmtId="218" fontId="1" fillId="0" borderId="0" xfId="0" applyNumberFormat="1" applyFont="1" applyFill="1" applyBorder="1" applyAlignment="1">
      <x:alignment vertical="center"/>
    </x:xf>
    <x:xf numFmtId="219" fontId="1" fillId="0" borderId="0" xfId="0" applyNumberFormat="1" applyFont="1" applyFill="1" applyBorder="1" applyAlignment="1">
      <x:alignment vertical="center"/>
    </x:xf>
    <x:xf numFmtId="0" fontId="17" fillId="0" borderId="0" xfId="0" applyNumberFormat="1" applyFont="1" applyFill="1" applyBorder="1" applyAlignment="1">
      <x:alignment vertical="center"/>
    </x:xf>
    <x:xf numFmtId="0" fontId="17" fillId="0" borderId="0" xfId="0" applyNumberFormat="1" applyFont="1" applyFill="1" applyBorder="1" applyAlignment="1">
      <x:alignment vertical="center" wrapText="1"/>
    </x:xf>
  </x:cellXfs>
  <x:cellStyles count="1">
    <x:cellStyle name="Normal" xfId="0"/>
  </x:cellStyles>
  <x:dxfs count="4">
    <x:dxf>
      <x:font>
        <x:b/>
        <x:color rgb="FFB91C1C"/>
      </x:font>
      <x:fill>
        <x:patternFill patternType="solid">
          <x:bgColor rgb="FFFCE8E6"/>
        </x:patternFill>
      </x:fill>
    </x:dxf>
    <x:dxf>
      <x:font>
        <x:b/>
        <x:color rgb="FFB91C1C"/>
      </x:font>
      <x:fill>
        <x:patternFill patternType="solid">
          <x:bgColor rgb="FFFCE8E6"/>
        </x:patternFill>
      </x:fill>
    </x:dxf>
    <x:dxf>
      <x:font>
        <x:b/>
        <x:color rgb="FFB91C1C"/>
      </x:font>
      <x:fill>
        <x:patternFill patternType="solid">
          <x:bgColor rgb="FFFCE8E6"/>
        </x:patternFill>
      </x:fill>
    </x:dxf>
    <x:dxf>
      <x:font>
        <x:b/>
        <x:color rgb="FFB91C1C"/>
      </x:font>
      <x:fill>
        <x:patternFill patternType="solid">
          <x:bgColor rgb="FFFCE8E6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af0f062365664a53" /><Relationship Type="http://schemas.openxmlformats.org/officeDocument/2006/relationships/theme" Target="/xl/theme/theme1.xml" Id="R7be5b9b3466b40f9" /><Relationship Type="http://schemas.openxmlformats.org/officeDocument/2006/relationships/sharedStrings" Target="/xl/sharedStrings.xml" Id="R7af404d39a3948ee" /><Relationship Type="http://schemas.openxmlformats.org/officeDocument/2006/relationships/worksheet" Target="/xl/worksheets/sheet1.xml" Id="R355469e8e41647d8" /><Relationship Type="http://schemas.openxmlformats.org/officeDocument/2006/relationships/worksheet" Target="/xl/worksheets/sheet2.xml" Id="Rd2cedf34ecbb4a61" /><Relationship Type="http://schemas.openxmlformats.org/officeDocument/2006/relationships/worksheet" Target="/xl/worksheets/sheet3.xml" Id="Rfcd8e2be7724416f" /><Relationship Type="http://schemas.openxmlformats.org/officeDocument/2006/relationships/worksheet" Target="/xl/worksheets/sheet4.xml" Id="Re6799fe631f344a1" /><Relationship Type="http://schemas.openxmlformats.org/officeDocument/2006/relationships/worksheet" Target="/xl/worksheets/sheet5.xml" Id="R7ffa63a6704f405a" /><Relationship Type="http://schemas.openxmlformats.org/officeDocument/2006/relationships/worksheet" Target="/xl/worksheets/sheet6.xml" Id="Rfb9d52acd3d243e7" /><Relationship Type="http://schemas.openxmlformats.org/officeDocument/2006/relationships/worksheet" Target="/xl/worksheets/sheet7.xml" Id="R39fb0663318443a0" /><Relationship Type="http://schemas.openxmlformats.org/officeDocument/2006/relationships/worksheet" Target="/xl/worksheets/sheet8.xml" Id="R8e18147a291e414a" /><Relationship Type="http://schemas.openxmlformats.org/officeDocument/2006/relationships/worksheet" Target="/xl/worksheets/sheet9.xml" Id="Rb8c1548f6f5945b6" /><Relationship Type="http://schemas.openxmlformats.org/officeDocument/2006/relationships/worksheet" Target="/xl/worksheets/sheet10.xml" Id="Rcb55d057c336480d" /><Relationship Type="http://schemas.openxmlformats.org/officeDocument/2006/relationships/worksheet" Target="/xl/worksheets/sheet11.xml" Id="R73e9bb2bc1024bfd" /><Relationship Type="http://schemas.openxmlformats.org/officeDocument/2006/relationships/worksheet" Target="/xl/worksheets/sheet12.xml" Id="Rdb6085dd735b463c" /><Relationship Type="http://schemas.openxmlformats.org/officeDocument/2006/relationships/worksheet" Target="/xl/worksheets/sheet13.xml" Id="R47fcb0fac9294dae" /><Relationship Type="http://schemas.openxmlformats.org/officeDocument/2006/relationships/worksheet" Target="/xl/worksheets/sheet14.xml" Id="Rc0f38ab3e7824239" /></Relationships>
</file>

<file path=xl/drawings/_rels/drawing1.xml.rels>&#65279;<?xml version="1.0" encoding="utf-8"?><Relationships xmlns="http://schemas.openxmlformats.org/package/2006/relationships"><Relationship Type="http://schemas.openxmlformats.org/officeDocument/2006/relationships/chart" Target="/xl/drawings/charts/chart1.xml" Id="Refe85bd931414453" /><Relationship Type="http://schemas.openxmlformats.org/officeDocument/2006/relationships/chart" Target="/xl/drawings/charts/chart2.xml" Id="Rc33d0eafc91549d6" /></Relationships>
</file>

<file path=xl/drawings/_rels/drawing2.xml.rels>&#65279;<?xml version="1.0" encoding="utf-8"?><Relationships xmlns="http://schemas.openxmlformats.org/package/2006/relationships"><Relationship Type="http://schemas.openxmlformats.org/officeDocument/2006/relationships/chart" Target="/xl/drawings/charts/chart3.xml" Id="Rcb81f99b329f4438" /></Relationships>
</file>

<file path=xl/drawings/_rels/drawing3.xml.rels>&#65279;<?xml version="1.0" encoding="utf-8"?><Relationships xmlns="http://schemas.openxmlformats.org/package/2006/relationships"><Relationship Type="http://schemas.openxmlformats.org/officeDocument/2006/relationships/chart" Target="/xl/drawings/charts/chart4.xml" Id="R66b6b9dabda64880" /><Relationship Type="http://schemas.openxmlformats.org/officeDocument/2006/relationships/chart" Target="/xl/drawings/charts/chart5.xml" Id="R43b2078ebf28446d" /></Relationships>
</file>

<file path=xl/drawings/charts/chart1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rPr sz="900">
                <a:latin typeface="Arial"/>
                <a:ea typeface="Arial"/>
                <a:cs typeface="Arial"/>
              </a:rPr>
              <a:t>Revenue and EBIT (VND billion)</a:t>
            </a:r>
          </a:p>
        </c:rich>
      </c:tx>
      <c:overlay val="0"/>
      <c:txPr>
        <a:bodyPr xmlns:a="http://schemas.openxmlformats.org/drawingml/2006/main" anchorCtr="1"/>
        <a:lstStyle xmlns:a="http://schemas.openxmlformats.org/drawingml/2006/main"/>
        <a:p xmlns:a="http://schemas.openxmlformats.org/drawingml/2006/main">
          <a:pPr>
            <a:defRPr sz="900">
              <a:latin typeface="Arial"/>
              <a:ea typeface="Arial"/>
              <a:cs typeface="Arial"/>
            </a:defRPr>
          </a:pPr>
        </a:p>
      </c:txPr>
    </c:title>
    <c:plotArea>
      <c:lineChart>
        <c:grouping val="standard"/>
        <c:varyColors val="0"/>
        <c:ser>
          <c:idx val="0"/>
          <c:order val="0"/>
          <c:tx>
            <c:v>Revenue</c:v>
          </c:tx>
          <c:spPr>
            <a:ln xmlns:a="http://schemas.openxmlformats.org/drawingml/2006/main" w="19050">
              <a:solidFill>
                <a:srgbClr val="1F4E78"/>
              </a:solidFill>
              <a:prstDash val="solid"/>
            </a:ln>
          </c:spPr>
          <c:marker>
            <c:symbol val="none"/>
          </c:marker>
          <c:cat>
            <c:strRef>
              <c:f>'Summary'!$P$6:$P$16</c:f>
              <c:strCache>
                <c:ptCount val="0"/>
              </c:strCache>
            </c:strRef>
          </c:cat>
          <c:val>
            <c:numRef>
              <c:f>'Summary'!$Q$6:$Q$16</c:f>
              <c:numCache>
                <c:formatCode>#,##0</c:formatCode>
                <c:ptCount val="0"/>
              </c:numCache>
            </c:numRef>
          </c:val>
          <c:smooth val="0"/>
        </c:ser>
        <c:ser>
          <c:idx val="1"/>
          <c:order val="1"/>
          <c:tx>
            <c:v>EBIT</c:v>
          </c:tx>
          <c:spPr>
            <a:ln xmlns:a="http://schemas.openxmlformats.org/drawingml/2006/main" w="19050">
              <a:solidFill>
                <a:srgbClr val="F28E2B"/>
              </a:solidFill>
              <a:prstDash val="solid"/>
            </a:ln>
          </c:spPr>
          <c:marker>
            <c:symbol val="none"/>
          </c:marker>
          <c:cat>
            <c:strRef>
              <c:f>'Summary'!$P$6:$P$16</c:f>
              <c:strCache>
                <c:ptCount val="0"/>
              </c:strCache>
            </c:strRef>
          </c:cat>
          <c:val>
            <c:numRef>
              <c:f>'Summary'!$R$6:$R$16</c:f>
              <c:numCache>
                <c:formatCode>#,##0</c:formatCode>
                <c:ptCount val="0"/>
              </c:numCache>
            </c:numRef>
          </c:val>
          <c:smooth val="0"/>
        </c:ser>
        <c:smooth val="0"/>
        <c:axId val="48650112"/>
        <c:axId val="48672768"/>
      </c:line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txPr>
          <a:bodyPr xmlns:a="http://schemas.openxmlformats.org/drawingml/2006/main" anchorCtr="1"/>
          <a:lstStyle xmlns:a="http://schemas.openxmlformats.org/drawingml/2006/main"/>
          <a:p xmlns:a="http://schemas.openxmlformats.org/drawingml/2006/main">
            <a:pPr>
              <a:defRPr sz="750">
                <a:latin typeface="Arial"/>
                <a:ea typeface="Arial"/>
                <a:cs typeface="Arial"/>
              </a:defRPr>
            </a:pPr>
          </a:p>
        </c:txPr>
        <c:crossAx val="48672768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#,##0" sourceLinked="0"/>
        <c:majorTickMark val="none"/>
        <c:minorTickMark val="none"/>
        <c:txPr>
          <a:bodyPr xmlns:a="http://schemas.openxmlformats.org/drawingml/2006/main" anchorCtr="1"/>
          <a:lstStyle xmlns:a="http://schemas.openxmlformats.org/drawingml/2006/main"/>
          <a:p xmlns:a="http://schemas.openxmlformats.org/drawingml/2006/main">
            <a:pPr>
              <a:defRPr sz="750">
                <a:latin typeface="Arial"/>
                <a:ea typeface="Arial"/>
                <a:cs typeface="Arial"/>
              </a:defRPr>
            </a:pPr>
          </a:p>
        </c:txPr>
        <c:crossAx val="48650112"/>
        <c:crossBetween val="between"/>
      </c:valAx>
    </c:plotArea>
    <c:legend>
      <c:legendPos val="t"/>
      <c:overlay val="0"/>
      <c:txPr>
        <a:bodyPr xmlns:a="http://schemas.openxmlformats.org/drawingml/2006/main" anchorCtr="1"/>
        <a:lstStyle xmlns:a="http://schemas.openxmlformats.org/drawingml/2006/main"/>
        <a:p xmlns:a="http://schemas.openxmlformats.org/drawingml/2006/main">
          <a:pPr>
            <a:defRPr>
              <a:latin typeface="Arial"/>
              <a:ea typeface="Arial"/>
              <a:cs typeface="Arial"/>
            </a:defRPr>
          </a:pPr>
        </a:p>
      </c:txPr>
    </c:legend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charts/chart2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rPr sz="900">
                <a:latin typeface="Arial"/>
                <a:ea typeface="Arial"/>
                <a:cs typeface="Arial"/>
              </a:rPr>
              <a:t>Free cash flow to firm (VND billion)</a:t>
            </a:r>
          </a:p>
        </c:rich>
      </c:tx>
      <c:overlay val="0"/>
      <c:txPr>
        <a:bodyPr xmlns:a="http://schemas.openxmlformats.org/drawingml/2006/main" anchorCtr="1"/>
        <a:lstStyle xmlns:a="http://schemas.openxmlformats.org/drawingml/2006/main"/>
        <a:p xmlns:a="http://schemas.openxmlformats.org/drawingml/2006/main">
          <a:pPr>
            <a:defRPr sz="900">
              <a:latin typeface="Arial"/>
              <a:ea typeface="Arial"/>
              <a:cs typeface="Arial"/>
            </a:defRPr>
          </a:pPr>
        </a:p>
      </c:txPr>
    </c:title>
    <c:plotArea>
      <c:lineChart>
        <c:grouping val="standard"/>
        <c:varyColors val="0"/>
        <c:ser>
          <c:idx val="0"/>
          <c:order val="0"/>
          <c:tx>
            <c:v>FCFF</c:v>
          </c:tx>
          <c:spPr>
            <a:ln xmlns:a="http://schemas.openxmlformats.org/drawingml/2006/main" w="19050">
              <a:solidFill>
                <a:srgbClr val="70AD47"/>
              </a:solidFill>
              <a:prstDash val="solid"/>
            </a:ln>
          </c:spPr>
          <c:marker>
            <c:symbol val="none"/>
          </c:marker>
          <c:cat>
            <c:strRef>
              <c:f>'Summary'!$P$21:$P$31</c:f>
              <c:strCache>
                <c:ptCount val="0"/>
              </c:strCache>
            </c:strRef>
          </c:cat>
          <c:val>
            <c:numRef>
              <c:f>'Summary'!$Q$21:$Q$31</c:f>
              <c:numCache>
                <c:formatCode>#,##0</c:formatCode>
                <c:ptCount val="0"/>
              </c:numCache>
            </c:numRef>
          </c:val>
          <c:smooth val="0"/>
        </c:ser>
        <c:smooth val="0"/>
        <c:axId val="48650112"/>
        <c:axId val="48672768"/>
      </c:line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txPr>
          <a:bodyPr xmlns:a="http://schemas.openxmlformats.org/drawingml/2006/main" anchorCtr="1"/>
          <a:lstStyle xmlns:a="http://schemas.openxmlformats.org/drawingml/2006/main"/>
          <a:p xmlns:a="http://schemas.openxmlformats.org/drawingml/2006/main">
            <a:pPr>
              <a:defRPr sz="750">
                <a:latin typeface="Arial"/>
                <a:ea typeface="Arial"/>
                <a:cs typeface="Arial"/>
              </a:defRPr>
            </a:pPr>
          </a:p>
        </c:txPr>
        <c:crossAx val="48672768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#,##0" sourceLinked="0"/>
        <c:majorTickMark val="none"/>
        <c:minorTickMark val="none"/>
        <c:txPr>
          <a:bodyPr xmlns:a="http://schemas.openxmlformats.org/drawingml/2006/main" anchorCtr="1"/>
          <a:lstStyle xmlns:a="http://schemas.openxmlformats.org/drawingml/2006/main"/>
          <a:p xmlns:a="http://schemas.openxmlformats.org/drawingml/2006/main">
            <a:pPr>
              <a:defRPr sz="750">
                <a:latin typeface="Arial"/>
                <a:ea typeface="Arial"/>
                <a:cs typeface="Arial"/>
              </a:defRPr>
            </a:pPr>
          </a:p>
        </c:txPr>
        <c:crossAx val="48650112"/>
        <c:crossBetween val="between"/>
      </c:valAx>
    </c:plotArea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charts/chart3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rPr sz="900">
                <a:latin typeface="Arial"/>
                <a:ea typeface="Arial"/>
                <a:cs typeface="Arial"/>
              </a:rPr>
              <a:t>Valuation range (VND per share)</a:t>
            </a:r>
          </a:p>
        </c:rich>
      </c:tx>
      <c:overlay val="0"/>
      <c:txPr>
        <a:bodyPr xmlns:a="http://schemas.openxmlformats.org/drawingml/2006/main" anchorCtr="1"/>
        <a:lstStyle xmlns:a="http://schemas.openxmlformats.org/drawingml/2006/main"/>
        <a:p xmlns:a="http://schemas.openxmlformats.org/drawingml/2006/main">
          <a:pPr>
            <a:defRPr sz="900">
              <a:latin typeface="Arial"/>
              <a:ea typeface="Arial"/>
              <a:cs typeface="Arial"/>
            </a:defRPr>
          </a:pPr>
        </a:p>
      </c:txPr>
    </c:title>
    <c:plotArea>
      <c:barChart>
        <c:barDir val="col"/>
        <c:varyColors val="0"/>
        <c:ser>
          <c:idx val="0"/>
          <c:order val="0"/>
          <c:tx>
            <c:v>Low</c:v>
          </c:tx>
          <c:spPr>
            <a:solidFill xmlns:a="http://schemas.openxmlformats.org/drawingml/2006/main">
              <a:srgbClr val="A5A5A5"/>
            </a:solidFill>
          </c:spPr>
          <c:cat>
            <c:strRef>
              <c:f>'Comparable Valuation'!$H$6:$H$9</c:f>
              <c:strCache>
                <c:ptCount val="0"/>
              </c:strCache>
            </c:strRef>
          </c:cat>
          <c:val>
            <c:numRef>
              <c:f>'Comparable Valuation'!$I$6:$I$9</c:f>
              <c:numCache>
                <c:formatCode>#,##0</c:formatCode>
                <c:ptCount val="0"/>
              </c:numCache>
            </c:numRef>
          </c:val>
        </c:ser>
        <c:ser>
          <c:idx val="1"/>
          <c:order val="1"/>
          <c:tx>
            <c:v>Base</c:v>
          </c:tx>
          <c:spPr>
            <a:solidFill xmlns:a="http://schemas.openxmlformats.org/drawingml/2006/main">
              <a:srgbClr val="1F4E78"/>
            </a:solidFill>
          </c:spPr>
          <c:cat>
            <c:strRef>
              <c:f>'Comparable Valuation'!$H$6:$H$9</c:f>
              <c:strCache>
                <c:ptCount val="0"/>
              </c:strCache>
            </c:strRef>
          </c:cat>
          <c:val>
            <c:numRef>
              <c:f>'Comparable Valuation'!$J$6:$J$9</c:f>
              <c:numCache>
                <c:formatCode>#,##0</c:formatCode>
                <c:ptCount val="0"/>
              </c:numCache>
            </c:numRef>
          </c:val>
        </c:ser>
        <c:ser>
          <c:idx val="2"/>
          <c:order val="2"/>
          <c:tx>
            <c:v>High</c:v>
          </c:tx>
          <c:spPr>
            <a:solidFill xmlns:a="http://schemas.openxmlformats.org/drawingml/2006/main">
              <a:srgbClr val="70AD47"/>
            </a:solidFill>
          </c:spPr>
          <c:cat>
            <c:strRef>
              <c:f>'Comparable Valuation'!$H$6:$H$9</c:f>
              <c:strCache>
                <c:ptCount val="0"/>
              </c:strCache>
            </c:strRef>
          </c:cat>
          <c:val>
            <c:numRef>
              <c:f>'Comparable Valuation'!$K$6:$K$9</c:f>
              <c:numCache>
                <c:formatCode>#,##0</c:formatCode>
                <c:ptCount val="0"/>
              </c:numCache>
            </c:numRef>
          </c:val>
        </c:ser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txPr>
          <a:bodyPr xmlns:a="http://schemas.openxmlformats.org/drawingml/2006/main" anchorCtr="1"/>
          <a:lstStyle xmlns:a="http://schemas.openxmlformats.org/drawingml/2006/main"/>
          <a:p xmlns:a="http://schemas.openxmlformats.org/drawingml/2006/main">
            <a:pPr>
              <a:defRPr sz="750">
                <a:latin typeface="Arial"/>
                <a:ea typeface="Arial"/>
                <a:cs typeface="Arial"/>
              </a:defRPr>
            </a:pPr>
          </a:p>
        </c:txPr>
        <c:crossAx val="48672768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#,##0" sourceLinked="0"/>
        <c:majorTickMark val="none"/>
        <c:minorTickMark val="none"/>
        <c:txPr>
          <a:bodyPr xmlns:a="http://schemas.openxmlformats.org/drawingml/2006/main" anchorCtr="1"/>
          <a:lstStyle xmlns:a="http://schemas.openxmlformats.org/drawingml/2006/main"/>
          <a:p xmlns:a="http://schemas.openxmlformats.org/drawingml/2006/main">
            <a:pPr>
              <a:defRPr sz="750">
                <a:latin typeface="Arial"/>
                <a:ea typeface="Arial"/>
                <a:cs typeface="Arial"/>
              </a:defRPr>
            </a:pPr>
          </a:p>
        </c:txPr>
        <c:crossAx val="48650112"/>
        <c:crossBetween val="between"/>
      </c:valAx>
    </c:plotArea>
    <c:legend>
      <c:legendPos val="t"/>
      <c:overlay val="0"/>
      <c:txPr>
        <a:bodyPr xmlns:a="http://schemas.openxmlformats.org/drawingml/2006/main" anchorCtr="1"/>
        <a:lstStyle xmlns:a="http://schemas.openxmlformats.org/drawingml/2006/main"/>
        <a:p xmlns:a="http://schemas.openxmlformats.org/drawingml/2006/main">
          <a:pPr>
            <a:defRPr>
              <a:latin typeface="Arial"/>
              <a:ea typeface="Arial"/>
              <a:cs typeface="Arial"/>
            </a:defRPr>
          </a:pPr>
        </a:p>
      </c:txPr>
    </c:legend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charts/chart4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rPr sz="900">
                <a:latin typeface="Arial"/>
                <a:ea typeface="Arial"/>
                <a:cs typeface="Arial"/>
              </a:rPr>
              <a:t>FY2026E price references (VND/share)</a:t>
            </a:r>
          </a:p>
        </c:rich>
      </c:tx>
      <c:overlay val="0"/>
      <c:txPr>
        <a:bodyPr xmlns:a="http://schemas.openxmlformats.org/drawingml/2006/main" anchorCtr="1"/>
        <a:lstStyle xmlns:a="http://schemas.openxmlformats.org/drawingml/2006/main"/>
        <a:p xmlns:a="http://schemas.openxmlformats.org/drawingml/2006/main">
          <a:pPr>
            <a:defRPr sz="900">
              <a:latin typeface="Arial"/>
              <a:ea typeface="Arial"/>
              <a:cs typeface="Arial"/>
            </a:defRPr>
          </a:pPr>
        </a:p>
      </c:txPr>
    </c:title>
    <c:plotArea>
      <c:barChart>
        <c:barDir val="col"/>
        <c:varyColors val="0"/>
        <c:ser>
          <c:idx val="0"/>
          <c:order val="0"/>
          <c:tx>
            <c:v>Implied price</c:v>
          </c:tx>
          <c:spPr>
            <a:solidFill xmlns:a="http://schemas.openxmlformats.org/drawingml/2006/main">
              <a:srgbClr val="1F4E78"/>
            </a:solidFill>
          </c:spPr>
          <c:cat>
            <c:strRef>
              <c:f>'Historical Valuation'!$H$6:$H$12</c:f>
              <c:strCache>
                <c:ptCount val="0"/>
              </c:strCache>
            </c:strRef>
          </c:cat>
          <c:val>
            <c:numRef>
              <c:f>'Historical Valuation'!$I$6:$I$12</c:f>
              <c:numCache>
                <c:formatCode>#,##0</c:formatCode>
                <c:ptCount val="0"/>
              </c:numCache>
            </c:numRef>
          </c:val>
        </c:ser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txPr>
          <a:bodyPr xmlns:a="http://schemas.openxmlformats.org/drawingml/2006/main" anchorCtr="1"/>
          <a:lstStyle xmlns:a="http://schemas.openxmlformats.org/drawingml/2006/main"/>
          <a:p xmlns:a="http://schemas.openxmlformats.org/drawingml/2006/main">
            <a:pPr>
              <a:defRPr sz="675">
                <a:latin typeface="Arial"/>
                <a:ea typeface="Arial"/>
                <a:cs typeface="Arial"/>
              </a:defRPr>
            </a:pPr>
          </a:p>
        </c:txPr>
        <c:crossAx val="48672768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#,##0" sourceLinked="0"/>
        <c:majorTickMark val="none"/>
        <c:minorTickMark val="none"/>
        <c:txPr>
          <a:bodyPr xmlns:a="http://schemas.openxmlformats.org/drawingml/2006/main" anchorCtr="1"/>
          <a:lstStyle xmlns:a="http://schemas.openxmlformats.org/drawingml/2006/main"/>
          <a:p xmlns:a="http://schemas.openxmlformats.org/drawingml/2006/main">
            <a:pPr>
              <a:defRPr sz="675">
                <a:latin typeface="Arial"/>
                <a:ea typeface="Arial"/>
                <a:cs typeface="Arial"/>
              </a:defRPr>
            </a:pPr>
          </a:p>
        </c:txPr>
        <c:crossAx val="48650112"/>
        <c:crossBetween val="between"/>
      </c:valAx>
    </c:plotArea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charts/chart5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rPr sz="900">
                <a:latin typeface="Arial"/>
                <a:ea typeface="Arial"/>
                <a:cs typeface="Arial"/>
              </a:rPr>
              <a:t>FPT month-end price on 31-Oct-2025 share basis</a:t>
            </a:r>
          </a:p>
        </c:rich>
      </c:tx>
      <c:overlay val="0"/>
      <c:txPr>
        <a:bodyPr xmlns:a="http://schemas.openxmlformats.org/drawingml/2006/main" anchorCtr="1"/>
        <a:lstStyle xmlns:a="http://schemas.openxmlformats.org/drawingml/2006/main"/>
        <a:p xmlns:a="http://schemas.openxmlformats.org/drawingml/2006/main">
          <a:pPr>
            <a:defRPr sz="900">
              <a:latin typeface="Arial"/>
              <a:ea typeface="Arial"/>
              <a:cs typeface="Arial"/>
            </a:defRPr>
          </a:pPr>
        </a:p>
      </c:txPr>
    </c:title>
    <c:plotArea>
      <c:lineChart>
        <c:grouping val="standard"/>
        <c:varyColors val="0"/>
        <c:ser>
          <c:idx val="0"/>
          <c:order val="0"/>
          <c:tx>
            <c:v>Cutoff-rebased close</c:v>
          </c:tx>
          <c:spPr>
            <a:ln xmlns:a="http://schemas.openxmlformats.org/drawingml/2006/main" w="19050">
              <a:solidFill>
                <a:srgbClr val="1F4E78"/>
              </a:solidFill>
              <a:prstDash val="solid"/>
            </a:ln>
          </c:spPr>
          <c:marker>
            <c:symbol val="none"/>
          </c:marker>
          <c:cat>
            <c:strRef>
              <c:f>'Historical Valuation'!$C$33:$C$102</c:f>
              <c:strCache>
                <c:ptCount val="0"/>
              </c:strCache>
            </c:strRef>
          </c:cat>
          <c:val>
            <c:numRef>
              <c:f>'Historical Valuation'!$D$33:$D$102</c:f>
              <c:numCache>
                <c:formatCode>#,##0</c:formatCode>
                <c:ptCount val="0"/>
              </c:numCache>
            </c:numRef>
          </c:val>
          <c:smooth val="0"/>
        </c:ser>
        <c:smooth val="0"/>
        <c:axId val="48650112"/>
        <c:axId val="48672768"/>
      </c:lineChart>
      <c:date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mmm-yy" sourceLinked="0"/>
        <c:majorTickMark val="none"/>
        <c:minorTickMark val="none"/>
        <c:tickLblPos val="nextTo"/>
        <c:txPr>
          <a:bodyPr xmlns:a="http://schemas.openxmlformats.org/drawingml/2006/main" anchorCtr="1"/>
          <a:lstStyle xmlns:a="http://schemas.openxmlformats.org/drawingml/2006/main"/>
          <a:p xmlns:a="http://schemas.openxmlformats.org/drawingml/2006/main">
            <a:pPr>
              <a:defRPr sz="675">
                <a:latin typeface="Arial"/>
                <a:ea typeface="Arial"/>
                <a:cs typeface="Arial"/>
              </a:defRPr>
            </a:pPr>
          </a:p>
        </c:txPr>
        <c:crossAx val="48672768"/>
        <c:auto val="1"/>
      </c:date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#,##0" sourceLinked="0"/>
        <c:majorTickMark val="none"/>
        <c:minorTickMark val="none"/>
        <c:txPr>
          <a:bodyPr xmlns:a="http://schemas.openxmlformats.org/drawingml/2006/main" anchorCtr="1"/>
          <a:lstStyle xmlns:a="http://schemas.openxmlformats.org/drawingml/2006/main"/>
          <a:p xmlns:a="http://schemas.openxmlformats.org/drawingml/2006/main">
            <a:pPr>
              <a:defRPr sz="675">
                <a:latin typeface="Arial"/>
                <a:ea typeface="Arial"/>
                <a:cs typeface="Arial"/>
              </a:defRPr>
            </a:pPr>
          </a:p>
        </c:txPr>
        <c:crossAx val="48650112"/>
        <c:crossBetween val="between"/>
      </c:valAx>
    </c:plotArea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drawing1.xml><?xml version="1.0" encoding="utf-8"?>
<xdr:wsDr xmlns:xdr="http://schemas.openxmlformats.org/drawingml/2006/spreadsheetDrawing">
  <xdr:twoCellAnchor>
    <xdr:from>
      <xdr:col>15</xdr:col>
      <xdr:colOff>0</xdr:colOff>
      <xdr:row>4</xdr:row>
      <xdr:rowOff>0</xdr:rowOff>
    </xdr:from>
    <xdr:to>
      <xdr:col>23</xdr:col>
      <xdr:colOff>0</xdr:colOff>
      <xdr:row>18</xdr:row>
      <xdr:rowOff>0</xdr:rowOff>
    </xdr:to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efe85bd931414453"/>
        </a:graphicData>
      </a:graphic>
    </xdr:graphicFrame>
    <xdr:clientData/>
  </xdr:twoCellAnchor>
  <xdr:twoCellAnchor>
    <xdr:from>
      <xdr:col>15</xdr:col>
      <xdr:colOff>0</xdr:colOff>
      <xdr:row>19</xdr:row>
      <xdr:rowOff>0</xdr:rowOff>
    </xdr:from>
    <xdr:to>
      <xdr:col>23</xdr:col>
      <xdr:colOff>0</xdr:colOff>
      <xdr:row>33</xdr:row>
      <xdr:rowOff>0</xdr:rowOff>
    </xdr:to>
    <xdr:graphicFrame macro="">
      <xdr:nvGraphicFramePr>
        <xdr:cNvPr id="2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c33d0eafc91549d6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>
  <xdr:twoCellAnchor>
    <xdr:from>
      <xdr:col>13</xdr:col>
      <xdr:colOff>0</xdr:colOff>
      <xdr:row>4</xdr:row>
      <xdr:rowOff>0</xdr:rowOff>
    </xdr:from>
    <xdr:to>
      <xdr:col>20</xdr:col>
      <xdr:colOff>0</xdr:colOff>
      <xdr:row>22</xdr:row>
      <xdr:rowOff>0</xdr:rowOff>
    </xdr:to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cb81f99b329f4438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>
  <xdr:twoCellAnchor>
    <xdr:from>
      <xdr:col>7</xdr:col>
      <xdr:colOff>0</xdr:colOff>
      <xdr:row>13</xdr:row>
      <xdr:rowOff>0</xdr:rowOff>
    </xdr:from>
    <xdr:to>
      <xdr:col>16</xdr:col>
      <xdr:colOff>0</xdr:colOff>
      <xdr:row>29</xdr:row>
      <xdr:rowOff>0</xdr:rowOff>
    </xdr:to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66b6b9dabda64880"/>
        </a:graphicData>
      </a:graphic>
    </xdr:graphicFrame>
    <xdr:clientData/>
  </xdr:twoCellAnchor>
  <xdr:twoCellAnchor>
    <xdr:from>
      <xdr:col>8</xdr:col>
      <xdr:colOff>0</xdr:colOff>
      <xdr:row>31</xdr:row>
      <xdr:rowOff>0</xdr:rowOff>
    </xdr:from>
    <xdr:to>
      <xdr:col>16</xdr:col>
      <xdr:colOff>0</xdr:colOff>
      <xdr:row>50</xdr:row>
      <xdr:rowOff>0</xdr:rowOff>
    </xdr:to>
    <xdr:graphicFrame macro="">
      <xdr:nvGraphicFramePr>
        <xdr:cNvPr id="2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43b2078ebf28446d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drawing" Target="/xl/drawings/drawing1.xml" Id="Rb4a193562aa74476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drawing" Target="/xl/drawings/drawing2.xml" Id="R1445e7d69f6742b9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drawing" Target="/xl/drawings/drawing3.xml" Id="Rc9fa684761c74436" /></Relationships>
</file>

<file path=xl/worksheets/sheet1.xml><?xml version="1.0" encoding="utf-8"?>
<x:worksheet xmlns:x="http://schemas.openxmlformats.org/spreadsheetml/2006/main">
  <x:sheetPr>
    <x:tabColor rgb="FF17365D"/>
  </x:sheetPr>
  <x:sheetViews>
    <x:sheetView showGridLines="0" workbookViewId="0"/>
  </x:sheetViews>
  <x:sheetFormatPr defaultRowHeight="15"/>
  <x:cols>
    <x:col min="1" max="1" width="3" hidden="0" customWidth="1"/>
    <x:col min="2" max="2" width="3" hidden="0" customWidth="1"/>
    <x:col min="3" max="3" width="36" hidden="0" customWidth="1"/>
    <x:col min="4" max="4" width="12" hidden="0" customWidth="1"/>
    <x:col min="5" max="5" width="12" hidden="0" customWidth="1"/>
    <x:col min="6" max="6" width="30" hidden="0" customWidth="1"/>
    <x:col min="7" max="7" width="15" hidden="0" customWidth="1"/>
    <x:col min="8" max="8" width="17" hidden="0" customWidth="1"/>
    <x:col min="9" max="9" width="12" hidden="0" customWidth="1"/>
    <x:col min="10" max="10" width="22" hidden="0" customWidth="1"/>
    <x:col min="11" max="11" width="14" hidden="0" customWidth="1"/>
    <x:col min="12" max="12" width="14" hidden="0" customWidth="1"/>
    <x:col min="13" max="13" width="14" hidden="0" customWidth="1"/>
    <x:col min="14" max="14" width="12" hidden="0" customWidth="1"/>
    <x:col min="16" max="16" width="12" hidden="0" customWidth="1"/>
    <x:col min="17" max="17" width="12" hidden="0" customWidth="1"/>
    <x:col min="18" max="18" width="12" hidden="0" customWidth="1"/>
    <x:col min="19" max="19" width="12" hidden="0" customWidth="1"/>
    <x:col min="20" max="20" width="12" hidden="0" customWidth="1"/>
    <x:col min="21" max="21" width="12" hidden="0" customWidth="1"/>
    <x:col min="22" max="22" width="12" hidden="0" customWidth="1"/>
    <x:col min="23" max="23" width="12" hidden="0" customWidth="1"/>
  </x:cols>
  <x:sheetData>
    <x:row r="2" ht="18" hidden="0" customHeight="1">
      <x:c r="C2" s="3" t="str">
        <x:v>FPT equity valuation</x:v>
      </x:c>
      <x:c r="D2" s="2"/>
      <x:c r="E2" s="2"/>
      <x:c r="F2" s="2"/>
      <x:c r="G2" s="2"/>
      <x:c r="H2" s="2"/>
      <x:c r="I2" s="2"/>
      <x:c r="J2" s="2"/>
      <x:c r="K2" s="2"/>
      <x:c r="L2" s="2"/>
      <x:c r="M2" s="2"/>
      <x:c r="N2" s="2"/>
      <x:c r="O2" s="2"/>
      <x:c r="P2" s="2"/>
      <x:c r="Q2" s="2"/>
      <x:c r="R2" s="2"/>
      <x:c r="S2" s="2"/>
      <x:c r="T2" s="2"/>
      <x:c r="U2" s="2"/>
      <x:c r="V2" s="2"/>
      <x:c r="W2" s="2"/>
    </x:row>
    <x:row r="3" ht="15" hidden="0" customHeight="1">
      <x:c r="C3" s="4" t="str">
        <x:v>Point-in-time DCF and P/E cross-check at 31-Oct-2025, supported by audited actuals, a selected-case forecast and peer evidence.</x:v>
      </x:c>
      <x:c r="D3" s="2"/>
      <x:c r="E3" s="2"/>
      <x:c r="F3" s="2"/>
      <x:c r="G3" s="2"/>
      <x:c r="H3" s="2"/>
      <x:c r="I3" s="2"/>
      <x:c r="J3" s="2"/>
      <x:c r="K3" s="2"/>
      <x:c r="L3" s="2"/>
      <x:c r="M3" s="2"/>
      <x:c r="N3" s="2"/>
      <x:c r="O3" s="2"/>
      <x:c r="P3" s="2"/>
      <x:c r="Q3" s="2"/>
      <x:c r="R3" s="2"/>
      <x:c r="S3" s="2"/>
      <x:c r="T3" s="2"/>
      <x:c r="U3" s="2"/>
      <x:c r="V3" s="2"/>
      <x:c r="W3" s="2"/>
    </x:row>
    <x:row r="4" ht="15" hidden="0" customHeight="1">
      <x:c r="C4" s="5"/>
      <x:c r="D4" s="5"/>
      <x:c r="E4" s="5"/>
      <x:c r="F4" s="5"/>
      <x:c r="G4" s="5"/>
      <x:c r="H4" s="5"/>
      <x:c r="I4" s="5"/>
      <x:c r="J4" s="5"/>
      <x:c r="K4" s="5"/>
      <x:c r="L4" s="5"/>
      <x:c r="M4" s="5"/>
      <x:c r="N4" s="5"/>
      <x:c r="O4" s="5"/>
      <x:c r="P4" s="5"/>
      <x:c r="Q4" s="5"/>
      <x:c r="R4" s="2"/>
      <x:c r="S4" s="2"/>
      <x:c r="T4" s="2"/>
      <x:c r="U4" s="2"/>
      <x:c r="V4" s="2"/>
      <x:c r="W4" s="2"/>
    </x:row>
    <x:row r="5" ht="15" hidden="0" customHeight="1">
      <x:c r="C5" s="21" t="str">
        <x:v>Metric</x:v>
      </x:c>
      <x:c r="D5" s="22" t="str">
        <x:v>2020A</x:v>
      </x:c>
      <x:c r="E5" s="22" t="str">
        <x:v>2021A</x:v>
      </x:c>
      <x:c r="F5" s="22" t="str">
        <x:v>2022A</x:v>
      </x:c>
      <x:c r="G5" s="22" t="str">
        <x:v>2023A</x:v>
      </x:c>
      <x:c r="H5" s="22" t="str">
        <x:v>2024A</x:v>
      </x:c>
      <x:c r="I5" s="143" t="str">
        <x:v>2025E</x:v>
      </x:c>
      <x:c r="J5" s="143" t="str">
        <x:v>2026E</x:v>
      </x:c>
      <x:c r="K5" s="143" t="str">
        <x:v>2027E</x:v>
      </x:c>
      <x:c r="L5" s="143" t="str">
        <x:v>2028E</x:v>
      </x:c>
      <x:c r="M5" s="143" t="str">
        <x:v>2029E</x:v>
      </x:c>
      <x:c r="N5" s="144" t="str">
        <x:v>2030E</x:v>
      </x:c>
      <x:c r="O5" s="2"/>
      <x:c r="P5" s="2" t="str">
        <x:v>Year</x:v>
      </x:c>
      <x:c r="Q5" s="2" t="str">
        <x:v>Revenue</x:v>
      </x:c>
      <x:c r="R5" s="2" t="str">
        <x:v>EBIT</x:v>
      </x:c>
      <x:c r="S5" s="2"/>
      <x:c r="T5" s="2"/>
      <x:c r="U5" s="2"/>
      <x:c r="V5" s="2"/>
      <x:c r="W5" s="2"/>
    </x:row>
    <x:row r="6" ht="15" hidden="0" customHeight="1">
      <x:c r="C6" s="2" t="str">
        <x:v>Revenue</x:v>
      </x:c>
      <x:c r="D6" s="53" t="n">
        <x:f>'FCFF Build'!E6</x:f>
        <x:v>29830.400999999998</x:v>
      </x:c>
      <x:c r="E6" s="53" t="n">
        <x:f>'FCFF Build'!F6</x:f>
        <x:v>35657.26299999999</x:v>
      </x:c>
      <x:c r="F6" s="53" t="n">
        <x:f>'FCFF Build'!G6</x:f>
        <x:v>44009.528</x:v>
      </x:c>
      <x:c r="G6" s="53" t="n">
        <x:f>'FCFF Build'!H6</x:f>
        <x:v>52617.901000000005</x:v>
      </x:c>
      <x:c r="H6" s="53" t="n">
        <x:f>'FCFF Build'!I6</x:f>
        <x:v>62848.793999999994</x:v>
      </x:c>
      <x:c r="I6" s="53" t="n">
        <x:f>'FCFF Build'!J6</x:f>
        <x:v>69665.545229</x:v>
      </x:c>
      <x:c r="J6" s="53" t="n">
        <x:f>'FCFF Build'!K6</x:f>
        <x:v>78236.94259063198</x:v>
      </x:c>
      <x:c r="K6" s="53" t="n">
        <x:f>'FCFF Build'!L6</x:f>
        <x:v>87785.88987541632</x:v>
      </x:c>
      <x:c r="L6" s="53" t="n">
        <x:f>'FCFF Build'!M6</x:f>
        <x:v>98110.1208463709</x:v>
      </x:c>
      <x:c r="M6" s="53" t="n">
        <x:f>'FCFF Build'!N6</x:f>
        <x:v>108803.45980107687</x:v>
      </x:c>
      <x:c r="N6" s="53" t="n">
        <x:f>'FCFF Build'!O6</x:f>
        <x:v>120125.54681043208</x:v>
      </x:c>
      <x:c r="O6" s="2"/>
      <x:c r="P6" s="2" t="n">
        <x:v>2020</x:v>
      </x:c>
      <x:c r="Q6" s="2" t="n">
        <x:f>D6</x:f>
        <x:v>29830.400999999998</x:v>
      </x:c>
      <x:c r="R6" s="2" t="n">
        <x:f>D8</x:f>
        <x:v>4604.729678588</x:v>
      </x:c>
      <x:c r="S6" s="2"/>
      <x:c r="T6" s="2"/>
      <x:c r="U6" s="2"/>
      <x:c r="V6" s="2"/>
      <x:c r="W6" s="2"/>
    </x:row>
    <x:row r="7" ht="15" hidden="0" customHeight="1">
      <x:c r="C7" s="141" t="str">
        <x:v>  Revenue growth</x:v>
      </x:c>
      <x:c r="D7" s="142"/>
      <x:c r="E7" s="142" t="n">
        <x:f>'FCFF Build'!F7</x:f>
        <x:v>0.1953330094355752</x:v>
      </x:c>
      <x:c r="F7" s="142" t="n">
        <x:f>'FCFF Build'!G7</x:f>
        <x:v>0.23423741188436153</x:v>
      </x:c>
      <x:c r="G7" s="142" t="n">
        <x:f>'FCFF Build'!H7</x:f>
        <x:v>0.1956024840802657</x:v>
      </x:c>
      <x:c r="H7" s="142" t="n">
        <x:f>'FCFF Build'!I7</x:f>
        <x:v>0.19443749761131657</x:v>
      </x:c>
      <x:c r="I7" s="142" t="n">
        <x:f>'FCFF Build'!J7</x:f>
        <x:v>0.10846272132127144</x:v>
      </x:c>
      <x:c r="J7" s="142" t="n">
        <x:f>'FCFF Build'!K7</x:f>
        <x:v>0.12303639242981101</x:v>
      </x:c>
      <x:c r="K7" s="142" t="n">
        <x:f>'FCFF Build'!L7</x:f>
        <x:v>0.12205164170011584</x:v>
      </x:c>
      <x:c r="L7" s="142" t="n">
        <x:f>'FCFF Build'!M7</x:f>
        <x:v>0.11760695238843599</x:v>
      </x:c>
      <x:c r="M7" s="142" t="n">
        <x:f>'FCFF Build'!N7</x:f>
        <x:v>0.10899322987737925</x:v>
      </x:c>
      <x:c r="N7" s="142" t="n">
        <x:f>'FCFF Build'!O7</x:f>
        <x:v>0.1040599906478632</x:v>
      </x:c>
      <x:c r="O7" s="2"/>
      <x:c r="P7" s="2" t="n">
        <x:v>2021</x:v>
      </x:c>
      <x:c r="Q7" s="2" t="n">
        <x:f>E6</x:f>
        <x:v>35657.26299999999</x:v>
      </x:c>
      <x:c r="R7" s="2" t="n">
        <x:f>E8</x:f>
        <x:v>5415.027516223</x:v>
      </x:c>
      <x:c r="S7" s="2"/>
      <x:c r="T7" s="2"/>
      <x:c r="U7" s="2"/>
      <x:c r="V7" s="2"/>
      <x:c r="W7" s="2"/>
    </x:row>
    <x:row r="8" ht="15" hidden="0" customHeight="1">
      <x:c r="C8" s="2" t="str">
        <x:v>EBIT before financial items</x:v>
      </x:c>
      <x:c r="D8" s="53" t="n">
        <x:f>'FCFF Build'!E9</x:f>
        <x:v>4604.729678588</x:v>
      </x:c>
      <x:c r="E8" s="53" t="n">
        <x:f>'FCFF Build'!F9</x:f>
        <x:v>5415.027516223</x:v>
      </x:c>
      <x:c r="F8" s="53" t="n">
        <x:f>'FCFF Build'!G9</x:f>
        <x:v>6794.557295869</x:v>
      </x:c>
      <x:c r="G8" s="53" t="n">
        <x:f>'FCFF Build'!H9</x:f>
        <x:v>8451.627899363</x:v>
      </x:c>
      <x:c r="H8" s="53" t="n">
        <x:f>'FCFF Build'!I9</x:f>
        <x:v>10508.347783359</x:v>
      </x:c>
      <x:c r="I8" s="53" t="n">
        <x:f>'FCFF Build'!J9</x:f>
        <x:v>11703.811598472</x:v>
      </x:c>
      <x:c r="J8" s="53" t="n">
        <x:f>'FCFF Build'!K9</x:f>
        <x:v>13300.280240407437</x:v>
      </x:c>
      <x:c r="K8" s="53" t="n">
        <x:f>'FCFF Build'!L9</x:f>
        <x:v>15099.173058571607</x:v>
      </x:c>
      <x:c r="L8" s="53" t="n">
        <x:f>'FCFF Build'!M9</x:f>
        <x:v>16973.050906422166</x:v>
      </x:c>
      <x:c r="M8" s="53" t="n">
        <x:f>'FCFF Build'!N9</x:f>
        <x:v>18931.802005387373</x:v>
      </x:c>
      <x:c r="N8" s="53" t="n">
        <x:f>'FCFF Build'!O9</x:f>
        <x:v>21021.970691825612</x:v>
      </x:c>
      <x:c r="O8" s="2"/>
      <x:c r="P8" s="2" t="n">
        <x:v>2022</x:v>
      </x:c>
      <x:c r="Q8" s="2" t="n">
        <x:f>F6</x:f>
        <x:v>44009.528</x:v>
      </x:c>
      <x:c r="R8" s="2" t="n">
        <x:f>F8</x:f>
        <x:v>6794.557295869</x:v>
      </x:c>
      <x:c r="S8" s="2"/>
      <x:c r="T8" s="2"/>
      <x:c r="U8" s="2"/>
      <x:c r="V8" s="2"/>
      <x:c r="W8" s="2"/>
    </x:row>
    <x:row r="9" ht="15" hidden="0" customHeight="1">
      <x:c r="C9" s="141" t="str">
        <x:v>  EBIT margin</x:v>
      </x:c>
      <x:c r="D9" s="142" t="n">
        <x:f>'FCFF Build'!E10</x:f>
        <x:v>0.15436365332762372</x:v>
      </x:c>
      <x:c r="E9" s="142" t="n">
        <x:f>'FCFF Build'!F10</x:f>
        <x:v>0.15186324077153654</x:v>
      </x:c>
      <x:c r="F9" s="142" t="n">
        <x:f>'FCFF Build'!G10</x:f>
        <x:v>0.154388324634361</x:v>
      </x:c>
      <x:c r="G9" s="142" t="n">
        <x:f>'FCFF Build'!H10</x:f>
        <x:v>0.1606226728687448</x:v>
      </x:c>
      <x:c r="H9" s="142" t="n">
        <x:f>'FCFF Build'!I10</x:f>
        <x:v>0.1672004682119915</x:v>
      </x:c>
      <x:c r="I9" s="142" t="n">
        <x:f>'FCFF Build'!J10</x:f>
        <x:v>0.168</x:v>
      </x:c>
      <x:c r="J9" s="142" t="n">
        <x:f>'FCFF Build'!K10</x:f>
        <x:v>0.17</x:v>
      </x:c>
      <x:c r="K9" s="142" t="n">
        <x:f>'FCFF Build'!L10</x:f>
        <x:v>0.172</x:v>
      </x:c>
      <x:c r="L9" s="142" t="n">
        <x:f>'FCFF Build'!M10</x:f>
        <x:v>0.173</x:v>
      </x:c>
      <x:c r="M9" s="142" t="n">
        <x:f>'FCFF Build'!N10</x:f>
        <x:v>0.174</x:v>
      </x:c>
      <x:c r="N9" s="142" t="n">
        <x:f>'FCFF Build'!O10</x:f>
        <x:v>0.175</x:v>
      </x:c>
      <x:c r="O9" s="2"/>
      <x:c r="P9" s="2" t="n">
        <x:v>2023</x:v>
      </x:c>
      <x:c r="Q9" s="2" t="n">
        <x:f>G6</x:f>
        <x:v>52617.901000000005</x:v>
      </x:c>
      <x:c r="R9" s="2" t="n">
        <x:f>G8</x:f>
        <x:v>8451.627899363</x:v>
      </x:c>
      <x:c r="S9" s="2"/>
      <x:c r="T9" s="2"/>
      <x:c r="U9" s="2"/>
      <x:c r="V9" s="2"/>
      <x:c r="W9" s="2"/>
    </x:row>
    <x:row r="10" ht="15" hidden="0" customHeight="1">
      <x:c r="C10" s="58" t="str">
        <x:v>FCFF</x:v>
      </x:c>
      <x:c r="D10" s="59" t="n">
        <x:f>'FCFF Build'!E28</x:f>
        <x:v>3711.5663477649505</x:v>
      </x:c>
      <x:c r="E10" s="59" t="n">
        <x:f>'FCFF Build'!F28</x:f>
        <x:v>3926.6066845198616</x:v>
      </x:c>
      <x:c r="F10" s="59" t="n">
        <x:f>'FCFF Build'!G28</x:f>
        <x:v>2593.1029163330277</x:v>
      </x:c>
      <x:c r="G10" s="59" t="n">
        <x:f>'FCFF Build'!H28</x:f>
        <x:v>6138.912608288812</x:v>
      </x:c>
      <x:c r="H10" s="59" t="n">
        <x:f>'FCFF Build'!I28</x:f>
        <x:v>8512.04077889851</x:v>
      </x:c>
      <x:c r="I10" s="59" t="n">
        <x:f>'FCFF Build'!J28</x:f>
        <x:v>8429.740416777842</x:v>
      </x:c>
      <x:c r="J10" s="59" t="n">
        <x:f>'FCFF Build'!K28</x:f>
        <x:v>9659.043889280269</x:v>
      </x:c>
      <x:c r="K10" s="59" t="n">
        <x:f>'FCFF Build'!L28</x:f>
        <x:v>11251.033940666077</x:v>
      </x:c>
      <x:c r="L10" s="59" t="n">
        <x:f>'FCFF Build'!M28</x:f>
        <x:v>12860.311825504818</x:v>
      </x:c>
      <x:c r="M10" s="59" t="n">
        <x:f>'FCFF Build'!N28</x:f>
        <x:v>14586.667857646362</x:v>
      </x:c>
      <x:c r="N10" s="59" t="n">
        <x:f>'FCFF Build'!O28</x:f>
        <x:v>16095.616932680354</x:v>
      </x:c>
      <x:c r="O10" s="2"/>
      <x:c r="P10" s="2" t="n">
        <x:v>2024</x:v>
      </x:c>
      <x:c r="Q10" s="2" t="n">
        <x:f>H6</x:f>
        <x:v>62848.793999999994</x:v>
      </x:c>
      <x:c r="R10" s="2" t="n">
        <x:f>H8</x:f>
        <x:v>10508.347783359</x:v>
      </x:c>
      <x:c r="S10" s="2"/>
      <x:c r="T10" s="2"/>
      <x:c r="U10" s="2"/>
      <x:c r="V10" s="2"/>
      <x:c r="W10" s="2"/>
    </x:row>
    <x:row r="11" ht="15" hidden="0" customHeight="1">
      <x:c r="C11" s="141" t="str">
        <x:v>  FCFF margin</x:v>
      </x:c>
      <x:c r="D11" s="142" t="n">
        <x:f>'FCFF Build'!E29</x:f>
        <x:v>0.12442227470441818</x:v>
      </x:c>
      <x:c r="E11" s="142" t="n">
        <x:f>'FCFF Build'!F29</x:f>
        <x:v>0.11012081001617714</x:v>
      </x:c>
      <x:c r="F11" s="142" t="n">
        <x:f>'FCFF Build'!G29</x:f>
        <x:v>0.058921398028468464</x:v>
      </x:c>
      <x:c r="G11" s="142" t="n">
        <x:f>'FCFF Build'!H29</x:f>
        <x:v>0.11666965978534209</x:v>
      </x:c>
      <x:c r="H11" s="142" t="n">
        <x:f>'FCFF Build'!I29</x:f>
        <x:v>0.13543681966114593</x:v>
      </x:c>
      <x:c r="I11" s="142" t="n">
        <x:f>'FCFF Build'!J29</x:f>
        <x:v>0.12100300642258888</x:v>
      </x:c>
      <x:c r="J11" s="142" t="n">
        <x:f>'FCFF Build'!K29</x:f>
        <x:v>0.12345886188089401</x:v>
      </x:c>
      <x:c r="K11" s="142" t="n">
        <x:f>'FCFF Build'!L29</x:f>
        <x:v>0.12816449154452134</x:v>
      </x:c>
      <x:c r="L11" s="142" t="n">
        <x:f>'FCFF Build'!M29</x:f>
        <x:v>0.1310803790125035</x:v>
      </x:c>
      <x:c r="M11" s="142" t="n">
        <x:f>'FCFF Build'!N29</x:f>
        <x:v>0.13406437519831507</x:v>
      </x:c>
      <x:c r="N11" s="142" t="n">
        <x:f>'FCFF Build'!O29</x:f>
        <x:v>0.1339899576738706</x:v>
      </x:c>
      <x:c r="O11" s="2"/>
      <x:c r="P11" s="2" t="n">
        <x:v>2025</x:v>
      </x:c>
      <x:c r="Q11" s="2" t="n">
        <x:f>I6</x:f>
        <x:v>69665.545229</x:v>
      </x:c>
      <x:c r="R11" s="2" t="n">
        <x:f>I8</x:f>
        <x:v>11703.811598472</x:v>
      </x:c>
      <x:c r="S11" s="2"/>
      <x:c r="T11" s="2"/>
      <x:c r="U11" s="2"/>
      <x:c r="V11" s="2"/>
      <x:c r="W11" s="2"/>
    </x:row>
    <x:row r="12" ht="15" hidden="0" customHeight="1">
      <x:c r="C12" s="2"/>
      <x:c r="D12" s="2"/>
      <x:c r="E12" s="2"/>
      <x:c r="F12" s="2"/>
      <x:c r="G12" s="2"/>
      <x:c r="H12" s="2"/>
      <x:c r="I12" s="2"/>
      <x:c r="J12" s="2"/>
      <x:c r="K12" s="2"/>
      <x:c r="L12" s="2"/>
      <x:c r="M12" s="2"/>
      <x:c r="N12" s="2"/>
      <x:c r="O12" s="2"/>
      <x:c r="P12" s="2" t="n">
        <x:v>2026</x:v>
      </x:c>
      <x:c r="Q12" s="2" t="n">
        <x:f>J6</x:f>
        <x:v>78236.94259063198</x:v>
      </x:c>
      <x:c r="R12" s="2" t="n">
        <x:f>J8</x:f>
        <x:v>13300.280240407437</x:v>
      </x:c>
      <x:c r="S12" s="2"/>
      <x:c r="T12" s="2"/>
      <x:c r="U12" s="2"/>
      <x:c r="V12" s="2"/>
      <x:c r="W12" s="2"/>
    </x:row>
    <x:row r="13" ht="15" hidden="0" customHeight="1">
      <x:c r="C13" s="2"/>
      <x:c r="D13" s="2"/>
      <x:c r="E13" s="2"/>
      <x:c r="F13" s="2"/>
      <x:c r="G13" s="2"/>
      <x:c r="H13" s="2"/>
      <x:c r="I13" s="2"/>
      <x:c r="J13" s="2"/>
      <x:c r="K13" s="2"/>
      <x:c r="L13" s="2"/>
      <x:c r="M13" s="2"/>
      <x:c r="N13" s="2"/>
      <x:c r="O13" s="2"/>
      <x:c r="P13" s="2" t="n">
        <x:v>2027</x:v>
      </x:c>
      <x:c r="Q13" s="2" t="n">
        <x:f>K6</x:f>
        <x:v>87785.88987541632</x:v>
      </x:c>
      <x:c r="R13" s="2" t="n">
        <x:f>K8</x:f>
        <x:v>15099.173058571607</x:v>
      </x:c>
      <x:c r="S13" s="2"/>
      <x:c r="T13" s="2"/>
      <x:c r="U13" s="2"/>
      <x:c r="V13" s="2"/>
      <x:c r="W13" s="2"/>
    </x:row>
    <x:row r="14" ht="15" hidden="0" customHeight="1">
      <x:c r="C14" s="2" t="str">
        <x:v>Selected case</x:v>
      </x:c>
      <x:c r="D14" s="11" t="str">
        <x:f>'Assumptions'!D6</x:f>
        <x:v>Base</x:v>
      </x:c>
      <x:c r="E14" s="2"/>
      <x:c r="F14" s="21" t="str">
        <x:v>DCF output</x:v>
      </x:c>
      <x:c r="G14" s="22" t="str">
        <x:v>Unit</x:v>
      </x:c>
      <x:c r="H14" s="23" t="str">
        <x:v>Value</x:v>
      </x:c>
      <x:c r="I14" s="2"/>
      <x:c r="J14" s="21" t="str">
        <x:v>Valuation cross-check</x:v>
      </x:c>
      <x:c r="K14" s="22" t="str">
        <x:v>Low</x:v>
      </x:c>
      <x:c r="L14" s="22" t="str">
        <x:v>Base</x:v>
      </x:c>
      <x:c r="M14" s="23" t="str">
        <x:v>High</x:v>
      </x:c>
      <x:c r="N14" s="2"/>
      <x:c r="O14" s="2"/>
      <x:c r="P14" s="2" t="n">
        <x:v>2028</x:v>
      </x:c>
      <x:c r="Q14" s="2" t="n">
        <x:f>L6</x:f>
        <x:v>98110.1208463709</x:v>
      </x:c>
      <x:c r="R14" s="2" t="n">
        <x:f>L8</x:f>
        <x:v>16973.050906422166</x:v>
      </x:c>
      <x:c r="S14" s="2"/>
      <x:c r="T14" s="2"/>
      <x:c r="U14" s="2"/>
      <x:c r="V14" s="2"/>
      <x:c r="W14" s="2"/>
    </x:row>
    <x:row r="15" ht="15" hidden="0" customHeight="1">
      <x:c r="C15" s="2" t="str">
        <x:v>Forecast origin</x:v>
      </x:c>
      <x:c r="D15" s="2" t="str">
        <x:v>9M2025</x:v>
      </x:c>
      <x:c r="E15" s="2"/>
      <x:c r="F15" s="70" t="str">
        <x:v>DCF value per share</x:v>
      </x:c>
      <x:c r="G15" s="70" t="str">
        <x:v>VND / share</x:v>
      </x:c>
      <x:c r="H15" s="71" t="n">
        <x:f>'Valuation'!E46</x:f>
        <x:v>132526.66913903534</x:v>
      </x:c>
      <x:c r="I15" s="2"/>
      <x:c r="J15" s="2" t="str">
        <x:v>DCF</x:v>
      </x:c>
      <x:c r="K15" s="69" t="n">
        <x:f>'Comparable Valuation'!I6</x:f>
        <x:v>116340.8675534058</x:v>
      </x:c>
      <x:c r="L15" s="69" t="n">
        <x:f>'Comparable Valuation'!J6</x:f>
        <x:v>132526.66913903534</x:v>
      </x:c>
      <x:c r="M15" s="69" t="n">
        <x:f>'Comparable Valuation'!K6</x:f>
        <x:v>153749.2029790144</x:v>
      </x:c>
      <x:c r="N15" s="2"/>
      <x:c r="O15" s="2"/>
      <x:c r="P15" s="2" t="n">
        <x:v>2029</x:v>
      </x:c>
      <x:c r="Q15" s="2" t="n">
        <x:f>M6</x:f>
        <x:v>108803.45980107687</x:v>
      </x:c>
      <x:c r="R15" s="2" t="n">
        <x:f>M8</x:f>
        <x:v>18931.802005387373</x:v>
      </x:c>
      <x:c r="S15" s="2"/>
      <x:c r="T15" s="2"/>
      <x:c r="U15" s="2"/>
      <x:c r="V15" s="2"/>
      <x:c r="W15" s="2"/>
    </x:row>
    <x:row r="16" ht="15" hidden="0" customHeight="1">
      <x:c r="C16" s="2" t="str">
        <x:v>Clock A cutoff</x:v>
      </x:c>
      <x:c r="D16" s="2" t="str">
        <x:v>31-Oct-2025</x:v>
      </x:c>
      <x:c r="E16" s="2"/>
      <x:c r="F16" s="70" t="str">
        <x:v>Market price</x:v>
      </x:c>
      <x:c r="G16" s="70" t="str">
        <x:v>VND / share</x:v>
      </x:c>
      <x:c r="H16" s="71" t="n">
        <x:f>'Valuation'!E47</x:f>
        <x:v>102830</x:v>
      </x:c>
      <x:c r="I16" s="2"/>
      <x:c r="J16" s="2" t="str">
        <x:v>P/E comparables</x:v>
      </x:c>
      <x:c r="K16" s="69" t="n">
        <x:f>'Comparable Valuation'!I7</x:f>
        <x:v>98496.44277708602</x:v>
      </x:c>
      <x:c r="L16" s="69" t="n">
        <x:f>'Comparable Valuation'!J7</x:f>
        <x:v>116754.33871307815</x:v>
      </x:c>
      <x:c r="M16" s="69" t="n">
        <x:f>'Comparable Valuation'!K7</x:f>
        <x:v>122899.30390850332</x:v>
      </x:c>
      <x:c r="N16" s="2"/>
      <x:c r="O16" s="2"/>
      <x:c r="P16" s="2" t="n">
        <x:v>2030</x:v>
      </x:c>
      <x:c r="Q16" s="2" t="n">
        <x:f>N6</x:f>
        <x:v>120125.54681043208</x:v>
      </x:c>
      <x:c r="R16" s="2" t="n">
        <x:f>N8</x:f>
        <x:v>21021.970691825612</x:v>
      </x:c>
      <x:c r="S16" s="2"/>
      <x:c r="T16" s="2"/>
      <x:c r="U16" s="2"/>
      <x:c r="V16" s="2"/>
      <x:c r="W16" s="2"/>
    </x:row>
    <x:row r="17" ht="15" hidden="0" customHeight="1">
      <x:c r="C17" s="2" t="str">
        <x:v>Current gate</x:v>
      </x:c>
      <x:c r="D17" s="2" t="str">
        <x:v>Valuation triangulated + bands</x:v>
      </x:c>
      <x:c r="E17" s="2"/>
      <x:c r="F17" s="70" t="str">
        <x:v>DCF price gap</x:v>
      </x:c>
      <x:c r="G17" s="70" t="str">
        <x:v>%</x:v>
      </x:c>
      <x:c r="H17" s="72" t="n">
        <x:f>'Valuation'!E48</x:f>
        <x:v>0.2887938261114007</x:v>
      </x:c>
      <x:c r="I17" s="2"/>
      <x:c r="J17" s="77" t="str">
        <x:v>Blended</x:v>
      </x:c>
      <x:c r="K17" s="78" t="n">
        <x:f>'Comparable Valuation'!I8</x:f>
        <x:v>109203.0976428779</x:v>
      </x:c>
      <x:c r="L17" s="78" t="n">
        <x:f>'Comparable Valuation'!J8</x:f>
        <x:v>126217.73696865246</x:v>
      </x:c>
      <x:c r="M17" s="78" t="n">
        <x:f>'Comparable Valuation'!K8</x:f>
        <x:v>141409.24335080996</x:v>
      </x:c>
      <x:c r="N17" s="2"/>
      <x:c r="O17" s="2"/>
      <x:c r="P17" s="2"/>
      <x:c r="Q17" s="2"/>
      <x:c r="R17" s="2"/>
      <x:c r="S17" s="2"/>
      <x:c r="T17" s="2"/>
      <x:c r="U17" s="2"/>
      <x:c r="V17" s="2"/>
      <x:c r="W17" s="2"/>
    </x:row>
    <x:row r="18" ht="15" hidden="0" customHeight="1">
      <x:c r="C18" s="2"/>
      <x:c r="D18" s="2"/>
      <x:c r="E18" s="2"/>
      <x:c r="F18" s="2" t="str">
        <x:v>WACC</x:v>
      </x:c>
      <x:c r="G18" s="2" t="str">
        <x:v>%</x:v>
      </x:c>
      <x:c r="H18" s="49" t="n">
        <x:f>'Valuation'!E20</x:f>
        <x:v>0.10227341491296883</x:v>
      </x:c>
      <x:c r="I18" s="2"/>
      <x:c r="J18" s="2" t="str">
        <x:v>Market price</x:v>
      </x:c>
      <x:c r="K18" s="69" t="n">
        <x:f>'Comparable Valuation'!I9</x:f>
        <x:v>102830</x:v>
      </x:c>
      <x:c r="L18" s="69" t="n">
        <x:f>'Comparable Valuation'!J9</x:f>
        <x:v>102830</x:v>
      </x:c>
      <x:c r="M18" s="69" t="n">
        <x:f>'Comparable Valuation'!K9</x:f>
        <x:v>102830</x:v>
      </x:c>
      <x:c r="N18" s="2"/>
      <x:c r="O18" s="2"/>
      <x:c r="P18" s="2"/>
      <x:c r="Q18" s="2"/>
      <x:c r="R18" s="2"/>
      <x:c r="S18" s="2"/>
      <x:c r="T18" s="2"/>
      <x:c r="U18" s="2"/>
      <x:c r="V18" s="2"/>
      <x:c r="W18" s="2"/>
    </x:row>
    <x:row r="19" ht="15" hidden="0" customHeight="1">
      <x:c r="C19" s="2"/>
      <x:c r="D19" s="2"/>
      <x:c r="E19" s="2"/>
      <x:c r="F19" s="2" t="str">
        <x:v>Terminal growth</x:v>
      </x:c>
      <x:c r="G19" s="2" t="str">
        <x:v>%</x:v>
      </x:c>
      <x:c r="H19" s="49" t="n">
        <x:f>'Valuation'!E30</x:f>
        <x:v>0.04</x:v>
      </x:c>
      <x:c r="I19" s="2"/>
      <x:c r="J19" s="2"/>
      <x:c r="K19" s="2"/>
      <x:c r="L19" s="2"/>
      <x:c r="M19" s="2"/>
      <x:c r="N19" s="2"/>
      <x:c r="O19" s="2"/>
      <x:c r="P19" s="2"/>
      <x:c r="Q19" s="2"/>
      <x:c r="R19" s="2"/>
      <x:c r="S19" s="2"/>
      <x:c r="T19" s="2"/>
      <x:c r="U19" s="2"/>
      <x:c r="V19" s="2"/>
      <x:c r="W19" s="2"/>
    </x:row>
    <x:row r="20" ht="15" hidden="0" customHeight="1">
      <x:c r="C20" s="2"/>
      <x:c r="D20" s="2"/>
      <x:c r="E20" s="2"/>
      <x:c r="F20" s="2" t="str">
        <x:v>Terminal value / EV</x:v>
      </x:c>
      <x:c r="G20" s="2" t="str">
        <x:v>%</x:v>
      </x:c>
      <x:c r="H20" s="49" t="n">
        <x:f>'Valuation'!M28</x:f>
        <x:v>0.7684983025557585</x:v>
      </x:c>
      <x:c r="I20" s="2"/>
      <x:c r="J20" s="2"/>
      <x:c r="K20" s="2"/>
      <x:c r="L20" s="2"/>
      <x:c r="M20" s="2"/>
      <x:c r="N20" s="2"/>
      <x:c r="O20" s="2"/>
      <x:c r="P20" s="2" t="str">
        <x:v>Year</x:v>
      </x:c>
      <x:c r="Q20" s="2" t="str">
        <x:v>FCFF</x:v>
      </x:c>
      <x:c r="R20" s="2"/>
      <x:c r="S20" s="2"/>
      <x:c r="T20" s="2"/>
      <x:c r="U20" s="2"/>
      <x:c r="V20" s="2"/>
      <x:c r="W20" s="2"/>
    </x:row>
    <x:row r="21" ht="15" hidden="0" customHeight="1">
      <x:c r="C21" s="2"/>
      <x:c r="D21" s="2"/>
      <x:c r="E21" s="2"/>
      <x:c r="F21" s="2" t="str">
        <x:v>Market-implied terminal growth</x:v>
      </x:c>
      <x:c r="G21" s="2" t="str">
        <x:v>%</x:v>
      </x:c>
      <x:c r="H21" s="49" t="n">
        <x:f>'Valuation'!M11</x:f>
        <x:v>0.014097368324585392</x:v>
      </x:c>
      <x:c r="I21" s="2"/>
      <x:c r="J21" s="21" t="str">
        <x:v>Historical multiple context</x:v>
      </x:c>
      <x:c r="K21" s="22" t="str">
        <x:v>Value</x:v>
      </x:c>
      <x:c r="L21" s="22" t="str">
        <x:v>Signal</x:v>
      </x:c>
      <x:c r="M21" s="23" t="str">
        <x:v>Treatment</x:v>
      </x:c>
      <x:c r="N21" s="2"/>
      <x:c r="O21" s="2"/>
      <x:c r="P21" s="2" t="n">
        <x:v>2020</x:v>
      </x:c>
      <x:c r="Q21" s="2" t="n">
        <x:f>D10</x:f>
        <x:v>3711.5663477649505</x:v>
      </x:c>
      <x:c r="R21" s="2"/>
      <x:c r="S21" s="2"/>
      <x:c r="T21" s="2"/>
      <x:c r="U21" s="2"/>
      <x:c r="V21" s="2"/>
      <x:c r="W21" s="2"/>
    </x:row>
    <x:row r="22" ht="15" hidden="0" customHeight="1">
      <x:c r="C22" s="2"/>
      <x:c r="D22" s="2"/>
      <x:c r="E22" s="2"/>
      <x:c r="F22" s="2" t="str">
        <x:v>Enterprise value</x:v>
      </x:c>
      <x:c r="G22" s="2" t="str">
        <x:v>VND bn</x:v>
      </x:c>
      <x:c r="H22" s="53" t="n">
        <x:f>'Valuation'!E34</x:f>
        <x:v>211426.54867552064</x:v>
      </x:c>
      <x:c r="I22" s="2"/>
      <x:c r="J22" s="145" t="str">
        <x:v>Current implied 2026F P/E</x:v>
      </x:c>
      <x:c r="K22" s="146" t="n">
        <x:f>'Historical Valuation'!E8</x:f>
        <x:v>17.747950593061177</x:v>
      </x:c>
      <x:c r="L22" s="145" t="str">
        <x:v>Below recent average</x:v>
      </x:c>
      <x:c r="M22" s="145" t="str">
        <x:v>Diagnostic</x:v>
      </x:c>
      <x:c r="N22" s="2"/>
      <x:c r="O22" s="2"/>
      <x:c r="P22" s="2" t="n">
        <x:v>2021</x:v>
      </x:c>
      <x:c r="Q22" s="2" t="n">
        <x:f>E10</x:f>
        <x:v>3926.6066845198616</x:v>
      </x:c>
      <x:c r="R22" s="2"/>
      <x:c r="S22" s="2"/>
      <x:c r="T22" s="2"/>
      <x:c r="U22" s="2"/>
      <x:c r="V22" s="2"/>
      <x:c r="W22" s="2"/>
    </x:row>
    <x:row r="23" ht="15" hidden="0" customHeight="1">
      <x:c r="C23" s="2"/>
      <x:c r="D23" s="2"/>
      <x:c r="E23" s="2"/>
      <x:c r="F23" s="70" t="str">
        <x:v>Comparable value per share</x:v>
      </x:c>
      <x:c r="G23" s="70" t="str">
        <x:v>VND / share</x:v>
      </x:c>
      <x:c r="H23" s="71" t="n">
        <x:f>'Comparable Valuation'!E8</x:f>
        <x:v>116754.33871307815</x:v>
      </x:c>
      <x:c r="I23" s="2"/>
      <x:c r="J23" s="149" t="str">
        <x:v>Applied comparable P/E</x:v>
      </x:c>
      <x:c r="K23" s="150" t="n">
        <x:f>'Historical Valuation'!E9</x:f>
        <x:v>20.151222746331232</x:v>
      </x:c>
      <x:c r="L23" s="149" t="str">
        <x:v>Near recent average</x:v>
      </x:c>
      <x:c r="M23" s="149" t="str">
        <x:v>40% comp method</x:v>
      </x:c>
      <x:c r="N23" s="2"/>
      <x:c r="O23" s="2"/>
      <x:c r="P23" s="2" t="n">
        <x:v>2022</x:v>
      </x:c>
      <x:c r="Q23" s="2" t="n">
        <x:f>F10</x:f>
        <x:v>2593.1029163330277</x:v>
      </x:c>
      <x:c r="R23" s="2"/>
      <x:c r="S23" s="2"/>
      <x:c r="T23" s="2"/>
      <x:c r="U23" s="2"/>
      <x:c r="V23" s="2"/>
      <x:c r="W23" s="2"/>
    </x:row>
    <x:row r="24" ht="15" hidden="0" customHeight="1">
      <x:c r="C24" s="2"/>
      <x:c r="D24" s="2"/>
      <x:c r="E24" s="2"/>
      <x:c r="F24" s="70" t="str">
        <x:v>Blended value per share</x:v>
      </x:c>
      <x:c r="G24" s="70" t="str">
        <x:v>VND / share</x:v>
      </x:c>
      <x:c r="H24" s="71" t="n">
        <x:f>'Comparable Valuation'!E9</x:f>
        <x:v>126217.73696865246</x:v>
      </x:c>
      <x:c r="I24" s="2"/>
      <x:c r="J24" s="145" t="str">
        <x:v>Vietcap 3Y average TTM P/E</x:v>
      </x:c>
      <x:c r="K24" s="146" t="n">
        <x:f>'Historical Valuation'!E10</x:f>
        <x:v>20.7</x:v>
      </x:c>
      <x:c r="L24" s="145" t="str">
        <x:v>Recent regime</x:v>
      </x:c>
      <x:c r="M24" s="145" t="str">
        <x:v>Diagnostic</x:v>
      </x:c>
      <x:c r="N24" s="2"/>
      <x:c r="O24" s="2"/>
      <x:c r="P24" s="2" t="n">
        <x:v>2023</x:v>
      </x:c>
      <x:c r="Q24" s="2" t="n">
        <x:f>G10</x:f>
        <x:v>6138.912608288812</x:v>
      </x:c>
      <x:c r="R24" s="2"/>
      <x:c r="S24" s="2"/>
      <x:c r="T24" s="2"/>
      <x:c r="U24" s="2"/>
      <x:c r="V24" s="2"/>
      <x:c r="W24" s="2"/>
    </x:row>
    <x:row r="25" ht="15" hidden="0" customHeight="1">
      <x:c r="C25" s="2"/>
      <x:c r="D25" s="2"/>
      <x:c r="E25" s="2"/>
      <x:c r="F25" s="70" t="str">
        <x:v>Blended price gap</x:v>
      </x:c>
      <x:c r="G25" s="70" t="str">
        <x:v>%</x:v>
      </x:c>
      <x:c r="H25" s="72" t="n">
        <x:f>'Comparable Valuation'!E10</x:f>
        <x:v>0.22744079518284988</x:v>
      </x:c>
      <x:c r="I25" s="2"/>
      <x:c r="J25" s="145" t="str">
        <x:v>SHS long-run mean P/E</x:v>
      </x:c>
      <x:c r="K25" s="146" t="n">
        <x:f>'Historical Valuation'!E11</x:f>
        <x:v>14.5</x:v>
      </x:c>
      <x:c r="L25" s="145" t="str">
        <x:v>Long-run centre</x:v>
      </x:c>
      <x:c r="M25" s="145" t="str">
        <x:v>Approx. chart read</x:v>
      </x:c>
      <x:c r="N25" s="2"/>
      <x:c r="O25" s="2"/>
      <x:c r="P25" s="2" t="n">
        <x:v>2024</x:v>
      </x:c>
      <x:c r="Q25" s="2" t="n">
        <x:f>H10</x:f>
        <x:v>8512.04077889851</x:v>
      </x:c>
      <x:c r="R25" s="2"/>
      <x:c r="S25" s="2"/>
      <x:c r="T25" s="2"/>
      <x:c r="U25" s="2"/>
      <x:c r="V25" s="2"/>
      <x:c r="W25" s="2"/>
    </x:row>
    <x:row r="26" ht="15" hidden="0" customHeight="1">
      <x:c r="C26" s="2"/>
      <x:c r="D26" s="2"/>
      <x:c r="E26" s="2"/>
      <x:c r="F26" s="2"/>
      <x:c r="G26" s="2"/>
      <x:c r="H26" s="2"/>
      <x:c r="I26" s="2"/>
      <x:c r="J26" s="145" t="str">
        <x:v>SHS long-run +1σ P/E</x:v>
      </x:c>
      <x:c r="K26" s="146" t="n">
        <x:f>'Historical Valuation'!E13</x:f>
        <x:v>20</x:v>
      </x:c>
      <x:c r="L26" s="145" t="str">
        <x:v>Long-run upper-normal</x:v>
      </x:c>
      <x:c r="M26" s="145" t="str">
        <x:v>Approx. chart read</x:v>
      </x:c>
      <x:c r="N26" s="2"/>
      <x:c r="O26" s="2"/>
      <x:c r="P26" s="2" t="n">
        <x:v>2025</x:v>
      </x:c>
      <x:c r="Q26" s="2" t="n">
        <x:f>I10</x:f>
        <x:v>8429.740416777842</x:v>
      </x:c>
      <x:c r="R26" s="2"/>
      <x:c r="S26" s="2"/>
      <x:c r="T26" s="2"/>
      <x:c r="U26" s="2"/>
      <x:c r="V26" s="2"/>
      <x:c r="W26" s="2"/>
    </x:row>
    <x:row r="27" ht="15" hidden="0" customHeight="1">
      <x:c r="C27" s="2"/>
      <x:c r="D27" s="2"/>
      <x:c r="E27" s="2"/>
      <x:c r="F27" s="2"/>
      <x:c r="G27" s="2"/>
      <x:c r="H27" s="2"/>
      <x:c r="I27" s="2"/>
      <x:c r="J27" s="2"/>
      <x:c r="K27" s="2"/>
      <x:c r="L27" s="2"/>
      <x:c r="M27" s="2"/>
      <x:c r="N27" s="2"/>
      <x:c r="O27" s="2"/>
      <x:c r="P27" s="2" t="n">
        <x:v>2026</x:v>
      </x:c>
      <x:c r="Q27" s="2" t="n">
        <x:f>J10</x:f>
        <x:v>9659.043889280269</x:v>
      </x:c>
      <x:c r="R27" s="2"/>
      <x:c r="S27" s="2"/>
      <x:c r="T27" s="2"/>
      <x:c r="U27" s="2"/>
      <x:c r="V27" s="2"/>
      <x:c r="W27" s="2"/>
    </x:row>
    <x:row r="28" ht="15" hidden="0" customHeight="1">
      <x:c r="C28" s="2"/>
      <x:c r="D28" s="2"/>
      <x:c r="E28" s="2"/>
      <x:c r="F28" s="2"/>
      <x:c r="G28" s="2"/>
      <x:c r="H28" s="2"/>
      <x:c r="I28" s="2"/>
      <x:c r="J28" s="2"/>
      <x:c r="K28" s="2"/>
      <x:c r="L28" s="2"/>
      <x:c r="M28" s="2"/>
      <x:c r="N28" s="2"/>
      <x:c r="O28" s="2"/>
      <x:c r="P28" s="2" t="n">
        <x:v>2027</x:v>
      </x:c>
      <x:c r="Q28" s="2" t="n">
        <x:f>K10</x:f>
        <x:v>11251.033940666077</x:v>
      </x:c>
      <x:c r="R28" s="2"/>
      <x:c r="S28" s="2"/>
      <x:c r="T28" s="2"/>
      <x:c r="U28" s="2"/>
      <x:c r="V28" s="2"/>
      <x:c r="W28" s="2"/>
    </x:row>
    <x:row r="29" ht="15" hidden="0" customHeight="1">
      <x:c r="C29" s="2"/>
      <x:c r="D29" s="2"/>
      <x:c r="E29" s="2"/>
      <x:c r="F29" s="2"/>
      <x:c r="G29" s="2"/>
      <x:c r="H29" s="2"/>
      <x:c r="I29" s="2"/>
      <x:c r="J29" s="2"/>
      <x:c r="K29" s="2"/>
      <x:c r="L29" s="2"/>
      <x:c r="M29" s="2"/>
      <x:c r="N29" s="2"/>
      <x:c r="O29" s="2"/>
      <x:c r="P29" s="2" t="n">
        <x:v>2028</x:v>
      </x:c>
      <x:c r="Q29" s="2" t="n">
        <x:f>L10</x:f>
        <x:v>12860.311825504818</x:v>
      </x:c>
      <x:c r="R29" s="2"/>
      <x:c r="S29" s="2"/>
      <x:c r="T29" s="2"/>
      <x:c r="U29" s="2"/>
      <x:c r="V29" s="2"/>
      <x:c r="W29" s="2"/>
    </x:row>
    <x:row r="30" ht="15" hidden="0" customHeight="1">
      <x:c r="C30" s="2"/>
      <x:c r="D30" s="2"/>
      <x:c r="E30" s="2"/>
      <x:c r="F30" s="2"/>
      <x:c r="G30" s="2"/>
      <x:c r="H30" s="2"/>
      <x:c r="I30" s="2"/>
      <x:c r="J30" s="2"/>
      <x:c r="K30" s="2"/>
      <x:c r="L30" s="2"/>
      <x:c r="M30" s="2"/>
      <x:c r="N30" s="2"/>
      <x:c r="O30" s="2"/>
      <x:c r="P30" s="2" t="n">
        <x:v>2029</x:v>
      </x:c>
      <x:c r="Q30" s="2" t="n">
        <x:f>M10</x:f>
        <x:v>14586.667857646362</x:v>
      </x:c>
      <x:c r="R30" s="2"/>
      <x:c r="S30" s="2"/>
      <x:c r="T30" s="2"/>
      <x:c r="U30" s="2"/>
      <x:c r="V30" s="2"/>
      <x:c r="W30" s="2"/>
    </x:row>
    <x:row r="31" ht="15" hidden="0" customHeight="1">
      <x:c r="C31" s="2"/>
      <x:c r="D31" s="2"/>
      <x:c r="E31" s="2"/>
      <x:c r="F31" s="2"/>
      <x:c r="G31" s="2"/>
      <x:c r="H31" s="2"/>
      <x:c r="I31" s="2"/>
      <x:c r="J31" s="2"/>
      <x:c r="K31" s="2"/>
      <x:c r="L31" s="2"/>
      <x:c r="M31" s="2"/>
      <x:c r="N31" s="2"/>
      <x:c r="O31" s="2"/>
      <x:c r="P31" s="2" t="n">
        <x:v>2030</x:v>
      </x:c>
      <x:c r="Q31" s="2" t="n">
        <x:f>N10</x:f>
        <x:v>16095.616932680354</x:v>
      </x:c>
      <x:c r="R31" s="2"/>
      <x:c r="S31" s="2"/>
      <x:c r="T31" s="2"/>
      <x:c r="U31" s="2"/>
      <x:c r="V31" s="2"/>
      <x:c r="W31" s="2"/>
    </x:row>
    <x:row r="32" ht="15" hidden="0" customHeight="1">
      <x:c r="C32" s="2"/>
      <x:c r="D32" s="2"/>
      <x:c r="E32" s="2"/>
      <x:c r="F32" s="2"/>
      <x:c r="G32" s="2"/>
      <x:c r="H32" s="2"/>
      <x:c r="I32" s="2"/>
      <x:c r="J32" s="2"/>
      <x:c r="K32" s="2"/>
      <x:c r="L32" s="2"/>
      <x:c r="M32" s="2"/>
      <x:c r="N32" s="2"/>
      <x:c r="O32" s="2"/>
      <x:c r="P32" s="2"/>
      <x:c r="Q32" s="2"/>
      <x:c r="R32" s="2"/>
      <x:c r="S32" s="2"/>
      <x:c r="T32" s="2"/>
      <x:c r="U32" s="2"/>
      <x:c r="V32" s="2"/>
      <x:c r="W32" s="2"/>
    </x:row>
    <x:row r="33" ht="15" hidden="0" customHeight="1">
      <x:c r="C33" s="2"/>
      <x:c r="D33" s="2"/>
      <x:c r="E33" s="2"/>
      <x:c r="F33" s="2"/>
      <x:c r="G33" s="2"/>
      <x:c r="H33" s="2"/>
      <x:c r="I33" s="2"/>
      <x:c r="J33" s="2"/>
      <x:c r="K33" s="2"/>
      <x:c r="L33" s="2"/>
      <x:c r="M33" s="2"/>
      <x:c r="N33" s="2"/>
      <x:c r="O33" s="2"/>
      <x:c r="P33" s="2"/>
      <x:c r="Q33" s="2"/>
      <x:c r="R33" s="2"/>
      <x:c r="S33" s="2"/>
      <x:c r="T33" s="2"/>
      <x:c r="U33" s="2"/>
      <x:c r="V33" s="2"/>
      <x:c r="W33" s="2"/>
    </x:row>
    <x:row r="34" ht="15" hidden="0" customHeight="1">
      <x:c r="C34" s="2"/>
      <x:c r="D34" s="2"/>
      <x:c r="E34" s="2"/>
      <x:c r="F34" s="2"/>
      <x:c r="G34" s="2"/>
      <x:c r="H34" s="2"/>
      <x:c r="I34" s="2"/>
      <x:c r="J34" s="2"/>
      <x:c r="K34" s="2"/>
      <x:c r="L34" s="2"/>
      <x:c r="M34" s="2"/>
      <x:c r="N34" s="2"/>
      <x:c r="O34" s="2"/>
      <x:c r="P34" s="2"/>
      <x:c r="Q34" s="2"/>
      <x:c r="R34" s="2"/>
      <x:c r="S34" s="2"/>
      <x:c r="T34" s="2"/>
      <x:c r="U34" s="2"/>
      <x:c r="V34" s="2"/>
      <x:c r="W34" s="2"/>
    </x:row>
    <x:row r="35" ht="15" hidden="0" customHeight="1">
      <x:c r="C35" s="2"/>
      <x:c r="D35" s="2"/>
      <x:c r="E35" s="2"/>
      <x:c r="F35" s="2"/>
      <x:c r="G35" s="2"/>
      <x:c r="H35" s="2"/>
      <x:c r="I35" s="2"/>
      <x:c r="J35" s="2"/>
      <x:c r="K35" s="2"/>
      <x:c r="L35" s="2"/>
      <x:c r="M35" s="2"/>
      <x:c r="N35" s="2"/>
      <x:c r="O35" s="2"/>
      <x:c r="P35" s="2"/>
      <x:c r="Q35" s="2"/>
      <x:c r="R35" s="2"/>
      <x:c r="S35" s="2"/>
      <x:c r="T35" s="2"/>
      <x:c r="U35" s="2"/>
      <x:c r="V35" s="2"/>
      <x:c r="W35" s="2"/>
    </x:row>
    <x:row r="36" ht="15" hidden="0" customHeight="1">
      <x:c r="C36" s="2"/>
      <x:c r="D36" s="2"/>
      <x:c r="E36" s="2"/>
      <x:c r="F36" s="2"/>
      <x:c r="G36" s="2"/>
      <x:c r="H36" s="2"/>
      <x:c r="I36" s="2"/>
      <x:c r="J36" s="2"/>
      <x:c r="K36" s="2"/>
      <x:c r="L36" s="2"/>
      <x:c r="M36" s="2"/>
      <x:c r="N36" s="2"/>
      <x:c r="O36" s="2"/>
      <x:c r="P36" s="2"/>
      <x:c r="Q36" s="2"/>
      <x:c r="R36" s="2"/>
      <x:c r="S36" s="2"/>
      <x:c r="T36" s="2"/>
      <x:c r="U36" s="2"/>
      <x:c r="V36" s="2"/>
      <x:c r="W36" s="2"/>
    </x:row>
    <x:row r="37"/>
    <x:row r="38"/>
    <x:row r="39"/>
    <x:row r="40"/>
    <x:row r="41"/>
    <x:row r="42"/>
    <x:row r="43"/>
    <x:row r="44"/>
    <x:row r="45"/>
    <x:row r="46"/>
    <x:row r="47"/>
    <x:row r="48"/>
    <x:row r="49"/>
    <x:row r="50"/>
    <x:row r="51"/>
    <x:row r="52"/>
    <x:row r="53"/>
    <x:row r="54"/>
    <x:row r="55"/>
    <x:row r="56"/>
    <x:row r="57"/>
    <x:row r="58"/>
    <x:row r="59"/>
    <x:row r="60"/>
  </x:sheetData>
  <x:pageMargins left="0.7" right="0.7" top="0.75" bottom="0.75" header="0.3" footer="0.3"/>
  <x:drawing xmlns:r="http://schemas.openxmlformats.org/officeDocument/2006/relationships" r:id="Rb4a193562aa74476"/>
</x:worksheet>
</file>

<file path=xl/worksheets/sheet2.xml><?xml version="1.0" encoding="utf-8"?>
<x:worksheet xmlns:x="http://schemas.openxmlformats.org/spreadsheetml/2006/main">
  <x:sheetPr>
    <x:tabColor rgb="FF1F4E78"/>
  </x:sheetPr>
  <x:sheetViews>
    <x:sheetView showGridLines="0" workbookViewId="0">
      <x:pane xSplit="4" ySplit="8" topLeftCell="E9" activePane="bottomRight" state="frozen"/>
    </x:sheetView>
  </x:sheetViews>
  <x:sheetFormatPr defaultRowHeight="15"/>
  <x:cols>
    <x:col min="1" max="1" width="3" hidden="0" customWidth="1"/>
    <x:col min="2" max="2" width="3" hidden="0" customWidth="1"/>
    <x:col min="3" max="3" width="45" hidden="0" customWidth="1"/>
    <x:col min="4" max="4" width="12" hidden="0" customWidth="1"/>
    <x:col min="5" max="5" width="13" hidden="0" customWidth="1"/>
    <x:col min="6" max="6" width="13" hidden="0" customWidth="1"/>
    <x:col min="7" max="7" width="13" hidden="0" customWidth="1"/>
    <x:col min="8" max="8" width="13" hidden="0" customWidth="1"/>
    <x:col min="9" max="9" width="13" hidden="0" customWidth="1"/>
    <x:col min="10" max="10" width="13" hidden="0" customWidth="1"/>
    <x:col min="11" max="11" width="66" hidden="0" customWidth="1"/>
  </x:cols>
  <x:sheetData>
    <x:row r="2" ht="18" hidden="0" customHeight="1">
      <x:c r="C2" s="3" t="str">
        <x:v>Forecast assumptions</x:v>
      </x:c>
      <x:c r="D2" s="2"/>
      <x:c r="E2" s="2"/>
      <x:c r="F2" s="2"/>
      <x:c r="G2" s="2"/>
      <x:c r="H2" s="2"/>
      <x:c r="I2" s="2"/>
      <x:c r="J2" s="2"/>
      <x:c r="K2" s="2"/>
    </x:row>
    <x:row r="3" ht="15" hidden="0" customHeight="1">
      <x:c r="C3" s="4" t="str">
        <x:v>One selector drives the active FY2025E-FY2030E forecast. Blue values are editable inputs.</x:v>
      </x:c>
      <x:c r="D3" s="2"/>
      <x:c r="E3" s="2"/>
      <x:c r="F3" s="2"/>
      <x:c r="G3" s="2"/>
      <x:c r="H3" s="2"/>
      <x:c r="I3" s="2"/>
      <x:c r="J3" s="2"/>
      <x:c r="K3" s="2"/>
    </x:row>
    <x:row r="4" ht="15" hidden="0" customHeight="1">
      <x:c r="C4" s="5"/>
      <x:c r="D4" s="5"/>
      <x:c r="E4" s="5"/>
      <x:c r="F4" s="5"/>
      <x:c r="G4" s="5"/>
      <x:c r="H4" s="5"/>
      <x:c r="I4" s="5"/>
      <x:c r="J4" s="5"/>
      <x:c r="K4" s="5"/>
      <x:c r="L4" s="6"/>
      <x:c r="M4" s="6"/>
      <x:c r="N4" s="6"/>
      <x:c r="O4" s="6"/>
      <x:c r="P4" s="6"/>
      <x:c r="Q4" s="6"/>
    </x:row>
    <x:row r="5" ht="15" hidden="0" customHeight="1">
      <x:c r="C5" s="2" t="str">
        <x:v>Case selector</x:v>
      </x:c>
      <x:c r="D5" s="10" t="n">
        <x:v>1</x:v>
      </x:c>
      <x:c r="E5" s="2"/>
      <x:c r="F5" s="2"/>
      <x:c r="G5" s="2"/>
      <x:c r="H5" s="2"/>
      <x:c r="I5" s="2"/>
      <x:c r="J5" s="2"/>
      <x:c r="K5" s="2"/>
    </x:row>
    <x:row r="6" ht="15" hidden="0" customHeight="1">
      <x:c r="C6" s="2" t="str">
        <x:v>Selected case</x:v>
      </x:c>
      <x:c r="D6" s="12" t="str">
        <x:f>CHOOSE($D$5,"Base","Downside")</x:f>
        <x:v>Base</x:v>
      </x:c>
      <x:c r="E6" s="2"/>
      <x:c r="F6" s="2"/>
      <x:c r="G6" s="2"/>
      <x:c r="H6" s="2"/>
      <x:c r="I6" s="2"/>
      <x:c r="J6" s="2"/>
      <x:c r="K6" s="2"/>
    </x:row>
    <x:row r="7" ht="15" hidden="0" customHeight="1">
      <x:c r="C7" s="2"/>
      <x:c r="D7" s="2"/>
      <x:c r="E7" s="2"/>
      <x:c r="F7" s="2"/>
      <x:c r="G7" s="2"/>
      <x:c r="H7" s="2"/>
      <x:c r="I7" s="2"/>
      <x:c r="J7" s="2"/>
      <x:c r="K7" s="2"/>
    </x:row>
    <x:row r="8" ht="15" hidden="0" customHeight="1">
      <x:c r="C8" s="21" t="str">
        <x:v>Driver / case</x:v>
      </x:c>
      <x:c r="D8" s="22" t="str">
        <x:v>Unit</x:v>
      </x:c>
      <x:c r="E8" s="22" t="n">
        <x:v>2025</x:v>
      </x:c>
      <x:c r="F8" s="22" t="n">
        <x:v>2026</x:v>
      </x:c>
      <x:c r="G8" s="22" t="n">
        <x:v>2027</x:v>
      </x:c>
      <x:c r="H8" s="22" t="n">
        <x:v>2028</x:v>
      </x:c>
      <x:c r="I8" s="22" t="n">
        <x:v>2029</x:v>
      </x:c>
      <x:c r="J8" s="22" t="n">
        <x:v>2030</x:v>
      </x:c>
      <x:c r="K8" s="23" t="str">
        <x:v>Rationale / evidence</x:v>
      </x:c>
    </x:row>
    <x:row r="9" ht="15" hidden="0" customHeight="1">
      <x:c r="C9" s="2"/>
      <x:c r="D9" s="2"/>
      <x:c r="E9" s="2"/>
      <x:c r="F9" s="2"/>
      <x:c r="G9" s="2"/>
      <x:c r="H9" s="2"/>
      <x:c r="I9" s="2"/>
      <x:c r="J9" s="2"/>
      <x:c r="K9" s="2"/>
    </x:row>
    <x:row r="10" ht="34" hidden="0" customHeight="1">
      <x:c r="C10" s="26" t="str">
        <x:v>Global IT revenue growth</x:v>
      </x:c>
      <x:c r="D10" s="26" t="str">
        <x:v>%</x:v>
      </x:c>
      <x:c r="E10" s="29" t="n">
        <x:f>CHOOSE($D$5,E11,E12)</x:f>
        <x:v>0.135</x:v>
      </x:c>
      <x:c r="F10" s="29" t="n">
        <x:f>CHOOSE($D$5,F11,F12)</x:f>
        <x:v>0.15</x:v>
      </x:c>
      <x:c r="G10" s="29" t="n">
        <x:f>CHOOSE($D$5,G11,G12)</x:f>
        <x:v>0.15</x:v>
      </x:c>
      <x:c r="H10" s="29" t="n">
        <x:f>CHOOSE($D$5,H11,H12)</x:f>
        <x:v>0.14</x:v>
      </x:c>
      <x:c r="I10" s="29" t="n">
        <x:f>CHOOSE($D$5,I11,I12)</x:f>
        <x:v>0.13</x:v>
      </x:c>
      <x:c r="J10" s="29" t="n">
        <x:f>CHOOSE($D$5,J11,J12)</x:f>
        <x:v>0.12</x:v>
      </x:c>
      <x:c r="K10" s="33" t="str">
        <x:v>9M2025 Global IT revenue +12.8%; signed revenue +14.4%. Japan +26.3% while APAC -7.5% (9M2025 report, pp. 5-7).</x:v>
      </x:c>
    </x:row>
    <x:row r="11" ht="15" hidden="0" customHeight="1">
      <x:c r="C11" s="2" t="str">
        <x:v>  Base</x:v>
      </x:c>
      <x:c r="D11" s="2" t="str">
        <x:v>%</x:v>
      </x:c>
      <x:c r="E11" s="30" t="n">
        <x:v>0.135</x:v>
      </x:c>
      <x:c r="F11" s="30" t="n">
        <x:v>0.15</x:v>
      </x:c>
      <x:c r="G11" s="30" t="n">
        <x:v>0.15</x:v>
      </x:c>
      <x:c r="H11" s="30" t="n">
        <x:v>0.14</x:v>
      </x:c>
      <x:c r="I11" s="30" t="n">
        <x:v>0.13</x:v>
      </x:c>
      <x:c r="J11" s="30" t="n">
        <x:v>0.12</x:v>
      </x:c>
      <x:c r="K11" s="2"/>
    </x:row>
    <x:row r="12" ht="15" hidden="0" customHeight="1">
      <x:c r="C12" s="2" t="str">
        <x:v>  Downside</x:v>
      </x:c>
      <x:c r="D12" s="2" t="str">
        <x:v>%</x:v>
      </x:c>
      <x:c r="E12" s="30" t="n">
        <x:v>0.08</x:v>
      </x:c>
      <x:c r="F12" s="30" t="n">
        <x:v>0.1</x:v>
      </x:c>
      <x:c r="G12" s="30" t="n">
        <x:v>0.1</x:v>
      </x:c>
      <x:c r="H12" s="30" t="n">
        <x:v>0.09</x:v>
      </x:c>
      <x:c r="I12" s="30" t="n">
        <x:v>0.08</x:v>
      </x:c>
      <x:c r="J12" s="30" t="n">
        <x:v>0.07</x:v>
      </x:c>
      <x:c r="K12" s="2"/>
    </x:row>
    <x:row r="13" ht="15" hidden="0" customHeight="1">
      <x:c r="C13" s="2"/>
      <x:c r="D13" s="2"/>
      <x:c r="E13" s="2"/>
      <x:c r="F13" s="2"/>
      <x:c r="G13" s="2"/>
      <x:c r="H13" s="2"/>
      <x:c r="I13" s="2"/>
      <x:c r="J13" s="2"/>
      <x:c r="K13" s="2"/>
    </x:row>
    <x:row r="14" ht="34" hidden="0" customHeight="1">
      <x:c r="C14" s="26" t="str">
        <x:v>Domestic IT revenue growth</x:v>
      </x:c>
      <x:c r="D14" s="26" t="str">
        <x:v>%</x:v>
      </x:c>
      <x:c r="E14" s="29" t="n">
        <x:f>CHOOSE($D$5,E15,E16)</x:f>
        <x:v>0.03</x:v>
      </x:c>
      <x:c r="F14" s="29" t="n">
        <x:f>CHOOSE($D$5,F15,F16)</x:f>
        <x:v>0.08</x:v>
      </x:c>
      <x:c r="G14" s="29" t="n">
        <x:f>CHOOSE($D$5,G15,G16)</x:f>
        <x:v>0.09</x:v>
      </x:c>
      <x:c r="H14" s="29" t="n">
        <x:f>CHOOSE($D$5,H15,H16)</x:f>
        <x:v>0.09</x:v>
      </x:c>
      <x:c r="I14" s="29" t="n">
        <x:f>CHOOSE($D$5,I15,I16)</x:f>
        <x:v>0.08</x:v>
      </x:c>
      <x:c r="J14" s="29" t="n">
        <x:f>CHOOSE($D$5,J15,J16)</x:f>
        <x:v>0.08</x:v>
      </x:c>
      <x:c r="K14" s="33" t="str">
        <x:v>9M2025 revenue +1.5% and PBT +31.9%; base case keeps near-term revenue cautious (9M2025 report, p. 5).</x:v>
      </x:c>
    </x:row>
    <x:row r="15" ht="15" hidden="0" customHeight="1">
      <x:c r="C15" s="2" t="str">
        <x:v>  Base</x:v>
      </x:c>
      <x:c r="D15" s="2" t="str">
        <x:v>%</x:v>
      </x:c>
      <x:c r="E15" s="30" t="n">
        <x:v>0.03</x:v>
      </x:c>
      <x:c r="F15" s="30" t="n">
        <x:v>0.08</x:v>
      </x:c>
      <x:c r="G15" s="30" t="n">
        <x:v>0.09</x:v>
      </x:c>
      <x:c r="H15" s="30" t="n">
        <x:v>0.09</x:v>
      </x:c>
      <x:c r="I15" s="30" t="n">
        <x:v>0.08</x:v>
      </x:c>
      <x:c r="J15" s="30" t="n">
        <x:v>0.08</x:v>
      </x:c>
      <x:c r="K15" s="2"/>
    </x:row>
    <x:row r="16" ht="15" hidden="0" customHeight="1">
      <x:c r="C16" s="2" t="str">
        <x:v>  Downside</x:v>
      </x:c>
      <x:c r="D16" s="2" t="str">
        <x:v>%</x:v>
      </x:c>
      <x:c r="E16" s="30" t="n">
        <x:v>-0.02</x:v>
      </x:c>
      <x:c r="F16" s="30" t="n">
        <x:v>0.03</x:v>
      </x:c>
      <x:c r="G16" s="30" t="n">
        <x:v>0.05</x:v>
      </x:c>
      <x:c r="H16" s="30" t="n">
        <x:v>0.05</x:v>
      </x:c>
      <x:c r="I16" s="30" t="n">
        <x:v>0.05</x:v>
      </x:c>
      <x:c r="J16" s="30" t="n">
        <x:v>0.05</x:v>
      </x:c>
      <x:c r="K16" s="2"/>
    </x:row>
    <x:row r="17" ht="15" hidden="0" customHeight="1">
      <x:c r="C17" s="2"/>
      <x:c r="D17" s="2"/>
      <x:c r="E17" s="2"/>
      <x:c r="F17" s="2"/>
      <x:c r="G17" s="2"/>
      <x:c r="H17" s="2"/>
      <x:c r="I17" s="2"/>
      <x:c r="J17" s="2"/>
      <x:c r="K17" s="2"/>
    </x:row>
    <x:row r="18" ht="34" hidden="0" customHeight="1">
      <x:c r="C18" s="26" t="str">
        <x:v>Telecom revenue growth</x:v>
      </x:c>
      <x:c r="D18" s="26" t="str">
        <x:v>%</x:v>
      </x:c>
      <x:c r="E18" s="29" t="n">
        <x:f>CHOOSE($D$5,E19,E20)</x:f>
        <x:v>0.12</x:v>
      </x:c>
      <x:c r="F18" s="29" t="n">
        <x:f>CHOOSE($D$5,F19,F20)</x:f>
        <x:v>0.11</x:v>
      </x:c>
      <x:c r="G18" s="29" t="n">
        <x:f>CHOOSE($D$5,G19,G20)</x:f>
        <x:v>0.1</x:v>
      </x:c>
      <x:c r="H18" s="29" t="n">
        <x:f>CHOOSE($D$5,H19,H20)</x:f>
        <x:v>0.1</x:v>
      </x:c>
      <x:c r="I18" s="29" t="n">
        <x:f>CHOOSE($D$5,I19,I20)</x:f>
        <x:v>0.09</x:v>
      </x:c>
      <x:c r="J18" s="29" t="n">
        <x:f>CHOOSE($D$5,J19,J20)</x:f>
        <x:v>0.09</x:v>
      </x:c>
      <x:c r="K18" s="33" t="str">
        <x:v>9M2025 telecom-services revenue +11.5%; FY2024 audited segment revenue +11.3% (9M2025 report p. 5; FY2024 report p. 195).</x:v>
      </x:c>
    </x:row>
    <x:row r="19" ht="15" hidden="0" customHeight="1">
      <x:c r="C19" s="2" t="str">
        <x:v>  Base</x:v>
      </x:c>
      <x:c r="D19" s="2" t="str">
        <x:v>%</x:v>
      </x:c>
      <x:c r="E19" s="30" t="n">
        <x:v>0.12</x:v>
      </x:c>
      <x:c r="F19" s="30" t="n">
        <x:v>0.11</x:v>
      </x:c>
      <x:c r="G19" s="30" t="n">
        <x:v>0.1</x:v>
      </x:c>
      <x:c r="H19" s="30" t="n">
        <x:v>0.1</x:v>
      </x:c>
      <x:c r="I19" s="30" t="n">
        <x:v>0.09</x:v>
      </x:c>
      <x:c r="J19" s="30" t="n">
        <x:v>0.09</x:v>
      </x:c>
      <x:c r="K19" s="2"/>
    </x:row>
    <x:row r="20" ht="15" hidden="0" customHeight="1">
      <x:c r="C20" s="2" t="str">
        <x:v>  Downside</x:v>
      </x:c>
      <x:c r="D20" s="2" t="str">
        <x:v>%</x:v>
      </x:c>
      <x:c r="E20" s="30" t="n">
        <x:v>0.08</x:v>
      </x:c>
      <x:c r="F20" s="30" t="n">
        <x:v>0.07</x:v>
      </x:c>
      <x:c r="G20" s="30" t="n">
        <x:v>0.07</x:v>
      </x:c>
      <x:c r="H20" s="30" t="n">
        <x:v>0.06</x:v>
      </x:c>
      <x:c r="I20" s="30" t="n">
        <x:v>0.06</x:v>
      </x:c>
      <x:c r="J20" s="30" t="n">
        <x:v>0.06</x:v>
      </x:c>
      <x:c r="K20" s="2"/>
    </x:row>
    <x:row r="21" ht="15" hidden="0" customHeight="1">
      <x:c r="C21" s="2"/>
      <x:c r="D21" s="2"/>
      <x:c r="E21" s="2"/>
      <x:c r="F21" s="2"/>
      <x:c r="G21" s="2"/>
      <x:c r="H21" s="2"/>
      <x:c r="I21" s="2"/>
      <x:c r="J21" s="2"/>
      <x:c r="K21" s="2"/>
    </x:row>
    <x:row r="22" ht="34" hidden="0" customHeight="1">
      <x:c r="C22" s="26" t="str">
        <x:v>Digital content revenue growth</x:v>
      </x:c>
      <x:c r="D22" s="26" t="str">
        <x:v>%</x:v>
      </x:c>
      <x:c r="E22" s="29" t="n">
        <x:f>CHOOSE($D$5,E23,E24)</x:f>
        <x:v>0.14</x:v>
      </x:c>
      <x:c r="F22" s="29" t="n">
        <x:f>CHOOSE($D$5,F23,F24)</x:f>
        <x:v>0.12</x:v>
      </x:c>
      <x:c r="G22" s="29" t="n">
        <x:f>CHOOSE($D$5,G23,G24)</x:f>
        <x:v>0.1</x:v>
      </x:c>
      <x:c r="H22" s="29" t="n">
        <x:f>CHOOSE($D$5,H23,H24)</x:f>
        <x:v>0.1</x:v>
      </x:c>
      <x:c r="I22" s="29" t="n">
        <x:f>CHOOSE($D$5,I23,I24)</x:f>
        <x:v>0.08</x:v>
      </x:c>
      <x:c r="J22" s="29" t="n">
        <x:f>CHOOSE($D$5,J23,J24)</x:f>
        <x:v>0.08</x:v>
      </x:c>
      <x:c r="K22" s="33" t="str">
        <x:v>9M2025 online-advertising revenue +14.4%; FY2024 audited digital-content revenue +13.6% (9M2025 report p. 5; FY2024 report p. 195).</x:v>
      </x:c>
    </x:row>
    <x:row r="23" ht="15" hidden="0" customHeight="1">
      <x:c r="C23" s="2" t="str">
        <x:v>  Base</x:v>
      </x:c>
      <x:c r="D23" s="2" t="str">
        <x:v>%</x:v>
      </x:c>
      <x:c r="E23" s="30" t="n">
        <x:v>0.14</x:v>
      </x:c>
      <x:c r="F23" s="30" t="n">
        <x:v>0.12</x:v>
      </x:c>
      <x:c r="G23" s="30" t="n">
        <x:v>0.1</x:v>
      </x:c>
      <x:c r="H23" s="30" t="n">
        <x:v>0.1</x:v>
      </x:c>
      <x:c r="I23" s="30" t="n">
        <x:v>0.08</x:v>
      </x:c>
      <x:c r="J23" s="30" t="n">
        <x:v>0.08</x:v>
      </x:c>
      <x:c r="K23" s="2"/>
    </x:row>
    <x:row r="24" ht="15" hidden="0" customHeight="1">
      <x:c r="C24" s="2" t="str">
        <x:v>  Downside</x:v>
      </x:c>
      <x:c r="D24" s="2" t="str">
        <x:v>%</x:v>
      </x:c>
      <x:c r="E24" s="30" t="n">
        <x:v>0.05</x:v>
      </x:c>
      <x:c r="F24" s="30" t="n">
        <x:v>0.05</x:v>
      </x:c>
      <x:c r="G24" s="30" t="n">
        <x:v>0.05</x:v>
      </x:c>
      <x:c r="H24" s="30" t="n">
        <x:v>0.04</x:v>
      </x:c>
      <x:c r="I24" s="30" t="n">
        <x:v>0.04</x:v>
      </x:c>
      <x:c r="J24" s="30" t="n">
        <x:v>0.04</x:v>
      </x:c>
      <x:c r="K24" s="2"/>
    </x:row>
    <x:row r="25" ht="15" hidden="0" customHeight="1">
      <x:c r="C25" s="2"/>
      <x:c r="D25" s="2"/>
      <x:c r="E25" s="2"/>
      <x:c r="F25" s="2"/>
      <x:c r="G25" s="2"/>
      <x:c r="H25" s="2"/>
      <x:c r="I25" s="2"/>
      <x:c r="J25" s="2"/>
      <x:c r="K25" s="2"/>
    </x:row>
    <x:row r="26" ht="34" hidden="0" customHeight="1">
      <x:c r="C26" s="26" t="str">
        <x:v>Education, investment and other revenue growth</x:v>
      </x:c>
      <x:c r="D26" s="26" t="str">
        <x:v>%</x:v>
      </x:c>
      <x:c r="E26" s="29" t="n">
        <x:f>CHOOSE($D$5,E27,E28)</x:f>
        <x:v>0.05</x:v>
      </x:c>
      <x:c r="F26" s="29" t="n">
        <x:f>CHOOSE($D$5,F27,F28)</x:f>
        <x:v>0.08</x:v>
      </x:c>
      <x:c r="G26" s="29" t="n">
        <x:f>CHOOSE($D$5,G27,G28)</x:f>
        <x:v>0.08</x:v>
      </x:c>
      <x:c r="H26" s="29" t="n">
        <x:f>CHOOSE($D$5,H27,H28)</x:f>
        <x:v>0.08</x:v>
      </x:c>
      <x:c r="I26" s="29" t="n">
        <x:f>CHOOSE($D$5,I27,I28)</x:f>
        <x:v>0.08</x:v>
      </x:c>
      <x:c r="J26" s="29" t="n">
        <x:f>CHOOSE($D$5,J27,J28)</x:f>
        <x:v>0.08</x:v>
      </x:c>
      <x:c r="K26" s="33" t="str">
        <x:v>9M2025 education revenue +1.0%; audited segment combines education, investment and other activities (9M2025 report p. 10; FY2024 report p. 195).</x:v>
      </x:c>
    </x:row>
    <x:row r="27" ht="15" hidden="0" customHeight="1">
      <x:c r="C27" s="2" t="str">
        <x:v>  Base</x:v>
      </x:c>
      <x:c r="D27" s="2" t="str">
        <x:v>%</x:v>
      </x:c>
      <x:c r="E27" s="30" t="n">
        <x:v>0.05</x:v>
      </x:c>
      <x:c r="F27" s="30" t="n">
        <x:v>0.08</x:v>
      </x:c>
      <x:c r="G27" s="30" t="n">
        <x:v>0.08</x:v>
      </x:c>
      <x:c r="H27" s="30" t="n">
        <x:v>0.08</x:v>
      </x:c>
      <x:c r="I27" s="30" t="n">
        <x:v>0.08</x:v>
      </x:c>
      <x:c r="J27" s="30" t="n">
        <x:v>0.08</x:v>
      </x:c>
      <x:c r="K27" s="2"/>
    </x:row>
    <x:row r="28" ht="15" hidden="0" customHeight="1">
      <x:c r="C28" s="2" t="str">
        <x:v>  Downside</x:v>
      </x:c>
      <x:c r="D28" s="2" t="str">
        <x:v>%</x:v>
      </x:c>
      <x:c r="E28" s="30" t="n">
        <x:v>0</x:v>
      </x:c>
      <x:c r="F28" s="30" t="n">
        <x:v>0.03</x:v>
      </x:c>
      <x:c r="G28" s="30" t="n">
        <x:v>0.04</x:v>
      </x:c>
      <x:c r="H28" s="30" t="n">
        <x:v>0.04</x:v>
      </x:c>
      <x:c r="I28" s="30" t="n">
        <x:v>0.04</x:v>
      </x:c>
      <x:c r="J28" s="30" t="n">
        <x:v>0.04</x:v>
      </x:c>
      <x:c r="K28" s="2"/>
    </x:row>
    <x:row r="29" ht="15" hidden="0" customHeight="1">
      <x:c r="C29" s="2"/>
      <x:c r="D29" s="2"/>
      <x:c r="E29" s="2"/>
      <x:c r="F29" s="2"/>
      <x:c r="G29" s="2"/>
      <x:c r="H29" s="2"/>
      <x:c r="I29" s="2"/>
      <x:c r="J29" s="2"/>
      <x:c r="K29" s="2"/>
    </x:row>
    <x:row r="30" ht="34" hidden="0" customHeight="1">
      <x:c r="C30" s="26" t="str">
        <x:v>Consolidation elimination / gross segment revenue</x:v>
      </x:c>
      <x:c r="D30" s="26" t="str">
        <x:v>%</x:v>
      </x:c>
      <x:c r="E30" s="29" t="n">
        <x:f>CHOOSE($D$5,E31,E32)</x:f>
        <x:v>-0.02</x:v>
      </x:c>
      <x:c r="F30" s="29" t="n">
        <x:f>CHOOSE($D$5,F31,F32)</x:f>
        <x:v>-0.02</x:v>
      </x:c>
      <x:c r="G30" s="29" t="n">
        <x:f>CHOOSE($D$5,G31,G32)</x:f>
        <x:v>-0.02</x:v>
      </x:c>
      <x:c r="H30" s="29" t="n">
        <x:f>CHOOSE($D$5,H31,H32)</x:f>
        <x:v>-0.02</x:v>
      </x:c>
      <x:c r="I30" s="29" t="n">
        <x:f>CHOOSE($D$5,I31,I32)</x:f>
        <x:v>-0.02</x:v>
      </x:c>
      <x:c r="J30" s="29" t="n">
        <x:f>CHOOSE($D$5,J31,J32)</x:f>
        <x:v>-0.02</x:v>
      </x:c>
      <x:c r="K30" s="33" t="str">
        <x:v>FY2020-FY2024 reported eliminations ranged from -2.1% to -3.4% of gross segment revenue; FY2024 was -2.1%.</x:v>
      </x:c>
    </x:row>
    <x:row r="31" ht="15" hidden="0" customHeight="1">
      <x:c r="C31" s="2" t="str">
        <x:v>  Base</x:v>
      </x:c>
      <x:c r="D31" s="2" t="str">
        <x:v>%</x:v>
      </x:c>
      <x:c r="E31" s="30" t="n">
        <x:v>-0.02</x:v>
      </x:c>
      <x:c r="F31" s="30" t="n">
        <x:v>-0.02</x:v>
      </x:c>
      <x:c r="G31" s="30" t="n">
        <x:v>-0.02</x:v>
      </x:c>
      <x:c r="H31" s="30" t="n">
        <x:v>-0.02</x:v>
      </x:c>
      <x:c r="I31" s="30" t="n">
        <x:v>-0.02</x:v>
      </x:c>
      <x:c r="J31" s="30" t="n">
        <x:v>-0.02</x:v>
      </x:c>
      <x:c r="K31" s="2"/>
    </x:row>
    <x:row r="32" ht="15" hidden="0" customHeight="1">
      <x:c r="C32" s="2" t="str">
        <x:v>  Downside</x:v>
      </x:c>
      <x:c r="D32" s="2" t="str">
        <x:v>%</x:v>
      </x:c>
      <x:c r="E32" s="30" t="n">
        <x:v>-0.022</x:v>
      </x:c>
      <x:c r="F32" s="30" t="n">
        <x:v>-0.022</x:v>
      </x:c>
      <x:c r="G32" s="30" t="n">
        <x:v>-0.022</x:v>
      </x:c>
      <x:c r="H32" s="30" t="n">
        <x:v>-0.022</x:v>
      </x:c>
      <x:c r="I32" s="30" t="n">
        <x:v>-0.022</x:v>
      </x:c>
      <x:c r="J32" s="30" t="n">
        <x:v>-0.022</x:v>
      </x:c>
      <x:c r="K32" s="2"/>
    </x:row>
    <x:row r="33" ht="15" hidden="0" customHeight="1">
      <x:c r="C33" s="2"/>
      <x:c r="D33" s="2"/>
      <x:c r="E33" s="2"/>
      <x:c r="F33" s="2"/>
      <x:c r="G33" s="2"/>
      <x:c r="H33" s="2"/>
      <x:c r="I33" s="2"/>
      <x:c r="J33" s="2"/>
      <x:c r="K33" s="2"/>
    </x:row>
    <x:row r="34" ht="34" hidden="0" customHeight="1">
      <x:c r="C34" s="26" t="str">
        <x:v>EBIT margin before financial items</x:v>
      </x:c>
      <x:c r="D34" s="26" t="str">
        <x:v>%</x:v>
      </x:c>
      <x:c r="E34" s="29" t="n">
        <x:f>CHOOSE($D$5,E35,E36)</x:f>
        <x:v>0.168</x:v>
      </x:c>
      <x:c r="F34" s="29" t="n">
        <x:f>CHOOSE($D$5,F35,F36)</x:f>
        <x:v>0.17</x:v>
      </x:c>
      <x:c r="G34" s="29" t="n">
        <x:f>CHOOSE($D$5,G35,G36)</x:f>
        <x:v>0.172</x:v>
      </x:c>
      <x:c r="H34" s="29" t="n">
        <x:f>CHOOSE($D$5,H35,H36)</x:f>
        <x:v>0.173</x:v>
      </x:c>
      <x:c r="I34" s="29" t="n">
        <x:f>CHOOSE($D$5,I35,I36)</x:f>
        <x:v>0.174</x:v>
      </x:c>
      <x:c r="J34" s="29" t="n">
        <x:f>CHOOSE($D$5,J35,J36)</x:f>
        <x:v>0.175</x:v>
      </x:c>
      <x:c r="K34" s="33" t="str">
        <x:v>EBIT before financial items increased from 15.4% of revenue in FY2020 to 16.7% in FY2024; base case assumes gradual improvement.</x:v>
      </x:c>
    </x:row>
    <x:row r="35" ht="15" hidden="0" customHeight="1">
      <x:c r="C35" s="2" t="str">
        <x:v>  Base</x:v>
      </x:c>
      <x:c r="D35" s="2" t="str">
        <x:v>%</x:v>
      </x:c>
      <x:c r="E35" s="30" t="n">
        <x:v>0.168</x:v>
      </x:c>
      <x:c r="F35" s="30" t="n">
        <x:v>0.17</x:v>
      </x:c>
      <x:c r="G35" s="30" t="n">
        <x:v>0.172</x:v>
      </x:c>
      <x:c r="H35" s="30" t="n">
        <x:v>0.173</x:v>
      </x:c>
      <x:c r="I35" s="30" t="n">
        <x:v>0.174</x:v>
      </x:c>
      <x:c r="J35" s="30" t="n">
        <x:v>0.175</x:v>
      </x:c>
      <x:c r="K35" s="2"/>
    </x:row>
    <x:row r="36" ht="15" hidden="0" customHeight="1">
      <x:c r="C36" s="2" t="str">
        <x:v>  Downside</x:v>
      </x:c>
      <x:c r="D36" s="2" t="str">
        <x:v>%</x:v>
      </x:c>
      <x:c r="E36" s="30" t="n">
        <x:v>0.16</x:v>
      </x:c>
      <x:c r="F36" s="30" t="n">
        <x:v>0.16</x:v>
      </x:c>
      <x:c r="G36" s="30" t="n">
        <x:v>0.162</x:v>
      </x:c>
      <x:c r="H36" s="30" t="n">
        <x:v>0.163</x:v>
      </x:c>
      <x:c r="I36" s="30" t="n">
        <x:v>0.164</x:v>
      </x:c>
      <x:c r="J36" s="30" t="n">
        <x:v>0.165</x:v>
      </x:c>
      <x:c r="K36" s="2"/>
    </x:row>
    <x:row r="37" ht="15" hidden="0" customHeight="1">
      <x:c r="C37" s="2"/>
      <x:c r="D37" s="2"/>
      <x:c r="E37" s="2"/>
      <x:c r="F37" s="2"/>
      <x:c r="G37" s="2"/>
      <x:c r="H37" s="2"/>
      <x:c r="I37" s="2"/>
      <x:c r="J37" s="2"/>
      <x:c r="K37" s="2"/>
    </x:row>
    <x:row r="38" ht="34" hidden="0" customHeight="1">
      <x:c r="C38" s="26" t="str">
        <x:v>Cash tax rate</x:v>
      </x:c>
      <x:c r="D38" s="26" t="str">
        <x:v>%</x:v>
      </x:c>
      <x:c r="E38" s="29" t="n">
        <x:f>CHOOSE($D$5,E39,E40)</x:f>
        <x:v>0.155</x:v>
      </x:c>
      <x:c r="F38" s="29" t="n">
        <x:f>CHOOSE($D$5,F39,F40)</x:f>
        <x:v>0.155</x:v>
      </x:c>
      <x:c r="G38" s="29" t="n">
        <x:f>CHOOSE($D$5,G39,G40)</x:f>
        <x:v>0.155</x:v>
      </x:c>
      <x:c r="H38" s="29" t="n">
        <x:f>CHOOSE($D$5,H39,H40)</x:f>
        <x:v>0.155</x:v>
      </x:c>
      <x:c r="I38" s="29" t="n">
        <x:f>CHOOSE($D$5,I39,I40)</x:f>
        <x:v>0.155</x:v>
      </x:c>
      <x:c r="J38" s="29" t="n">
        <x:f>CHOOSE($D$5,J39,J40)</x:f>
        <x:v>0.155</x:v>
      </x:c>
      <x:c r="K38" s="33" t="str">
        <x:v>Reported tax expense / PBT was 14.8%-16.0% in FY2020-FY2024. Forecast keeps a stable rate within that range.</x:v>
      </x:c>
    </x:row>
    <x:row r="39" ht="15" hidden="0" customHeight="1">
      <x:c r="C39" s="2" t="str">
        <x:v>  Base</x:v>
      </x:c>
      <x:c r="D39" s="2" t="str">
        <x:v>%</x:v>
      </x:c>
      <x:c r="E39" s="30" t="n">
        <x:v>0.155</x:v>
      </x:c>
      <x:c r="F39" s="30" t="n">
        <x:v>0.155</x:v>
      </x:c>
      <x:c r="G39" s="30" t="n">
        <x:v>0.155</x:v>
      </x:c>
      <x:c r="H39" s="30" t="n">
        <x:v>0.155</x:v>
      </x:c>
      <x:c r="I39" s="30" t="n">
        <x:v>0.155</x:v>
      </x:c>
      <x:c r="J39" s="30" t="n">
        <x:v>0.155</x:v>
      </x:c>
      <x:c r="K39" s="2"/>
    </x:row>
    <x:row r="40" ht="15" hidden="0" customHeight="1">
      <x:c r="C40" s="2" t="str">
        <x:v>  Downside</x:v>
      </x:c>
      <x:c r="D40" s="2" t="str">
        <x:v>%</x:v>
      </x:c>
      <x:c r="E40" s="30" t="n">
        <x:v>0.16</x:v>
      </x:c>
      <x:c r="F40" s="30" t="n">
        <x:v>0.16</x:v>
      </x:c>
      <x:c r="G40" s="30" t="n">
        <x:v>0.16</x:v>
      </x:c>
      <x:c r="H40" s="30" t="n">
        <x:v>0.16</x:v>
      </x:c>
      <x:c r="I40" s="30" t="n">
        <x:v>0.16</x:v>
      </x:c>
      <x:c r="J40" s="30" t="n">
        <x:v>0.16</x:v>
      </x:c>
      <x:c r="K40" s="2"/>
    </x:row>
    <x:row r="41" ht="15" hidden="0" customHeight="1">
      <x:c r="C41" s="2"/>
      <x:c r="D41" s="2"/>
      <x:c r="E41" s="2"/>
      <x:c r="F41" s="2"/>
      <x:c r="G41" s="2"/>
      <x:c r="H41" s="2"/>
      <x:c r="I41" s="2"/>
      <x:c r="J41" s="2"/>
      <x:c r="K41" s="2"/>
    </x:row>
    <x:row r="42" ht="34" hidden="0" customHeight="1">
      <x:c r="C42" s="26" t="str">
        <x:v>Depreciation and amortisation / revenue</x:v>
      </x:c>
      <x:c r="D42" s="26" t="str">
        <x:v>%</x:v>
      </x:c>
      <x:c r="E42" s="29" t="n">
        <x:f>CHOOSE($D$5,E43,E44)</x:f>
        <x:v>0.041</x:v>
      </x:c>
      <x:c r="F42" s="29" t="n">
        <x:f>CHOOSE($D$5,F43,F44)</x:f>
        <x:v>0.04</x:v>
      </x:c>
      <x:c r="G42" s="29" t="n">
        <x:f>CHOOSE($D$5,G43,G44)</x:f>
        <x:v>0.04</x:v>
      </x:c>
      <x:c r="H42" s="29" t="n">
        <x:f>CHOOSE($D$5,H43,H44)</x:f>
        <x:v>0.039</x:v>
      </x:c>
      <x:c r="I42" s="29" t="n">
        <x:f>CHOOSE($D$5,I43,I44)</x:f>
        <x:v>0.039</x:v>
      </x:c>
      <x:c r="J42" s="29" t="n">
        <x:f>CHOOSE($D$5,J43,J44)</x:f>
        <x:v>0.038</x:v>
      </x:c>
      <x:c r="K42" s="33" t="str">
        <x:v>Reported D&amp;A was 4.0%-5.0% of revenue in FY2020-FY2024 and 4.0% in FY2024.</x:v>
      </x:c>
    </x:row>
    <x:row r="43" ht="15" hidden="0" customHeight="1">
      <x:c r="C43" s="2" t="str">
        <x:v>  Base</x:v>
      </x:c>
      <x:c r="D43" s="2" t="str">
        <x:v>%</x:v>
      </x:c>
      <x:c r="E43" s="30" t="n">
        <x:v>0.041</x:v>
      </x:c>
      <x:c r="F43" s="30" t="n">
        <x:v>0.04</x:v>
      </x:c>
      <x:c r="G43" s="30" t="n">
        <x:v>0.04</x:v>
      </x:c>
      <x:c r="H43" s="30" t="n">
        <x:v>0.039</x:v>
      </x:c>
      <x:c r="I43" s="30" t="n">
        <x:v>0.039</x:v>
      </x:c>
      <x:c r="J43" s="30" t="n">
        <x:v>0.038</x:v>
      </x:c>
      <x:c r="K43" s="2"/>
    </x:row>
    <x:row r="44" ht="15" hidden="0" customHeight="1">
      <x:c r="C44" s="2" t="str">
        <x:v>  Downside</x:v>
      </x:c>
      <x:c r="D44" s="2" t="str">
        <x:v>%</x:v>
      </x:c>
      <x:c r="E44" s="30" t="n">
        <x:v>0.041</x:v>
      </x:c>
      <x:c r="F44" s="30" t="n">
        <x:v>0.041</x:v>
      </x:c>
      <x:c r="G44" s="30" t="n">
        <x:v>0.04</x:v>
      </x:c>
      <x:c r="H44" s="30" t="n">
        <x:v>0.04</x:v>
      </x:c>
      <x:c r="I44" s="30" t="n">
        <x:v>0.039</x:v>
      </x:c>
      <x:c r="J44" s="30" t="n">
        <x:v>0.039</x:v>
      </x:c>
      <x:c r="K44" s="2"/>
    </x:row>
    <x:row r="45" ht="15" hidden="0" customHeight="1">
      <x:c r="C45" s="2"/>
      <x:c r="D45" s="2"/>
      <x:c r="E45" s="2"/>
      <x:c r="F45" s="2"/>
      <x:c r="G45" s="2"/>
      <x:c r="H45" s="2"/>
      <x:c r="I45" s="2"/>
      <x:c r="J45" s="2"/>
      <x:c r="K45" s="2"/>
    </x:row>
    <x:row r="46" ht="34" hidden="0" customHeight="1">
      <x:c r="C46" s="26" t="str">
        <x:v>Capital expenditure / revenue</x:v>
      </x:c>
      <x:c r="D46" s="26" t="str">
        <x:v>%</x:v>
      </x:c>
      <x:c r="E46" s="29" t="n">
        <x:f>CHOOSE($D$5,E47,E48)</x:f>
        <x:v>0.06</x:v>
      </x:c>
      <x:c r="F46" s="29" t="n">
        <x:f>CHOOSE($D$5,F47,F48)</x:f>
        <x:v>0.058</x:v>
      </x:c>
      <x:c r="G46" s="29" t="n">
        <x:f>CHOOSE($D$5,G47,G48)</x:f>
        <x:v>0.055</x:v>
      </x:c>
      <x:c r="H46" s="29" t="n">
        <x:f>CHOOSE($D$5,H47,H48)</x:f>
        <x:v>0.052</x:v>
      </x:c>
      <x:c r="I46" s="29" t="n">
        <x:f>CHOOSE($D$5,I47,I48)</x:f>
        <x:v>0.05</x:v>
      </x:c>
      <x:c r="J46" s="29" t="n">
        <x:f>CHOOSE($D$5,J47,J48)</x:f>
        <x:v>0.05</x:v>
      </x:c>
      <x:c r="K46" s="33" t="str">
        <x:v>Cash capex was 5.2% of revenue in FY2024 versus 7.3%-10.1% in FY2020-FY2023. Base case normalises toward 5.0%.</x:v>
      </x:c>
    </x:row>
    <x:row r="47" ht="15" hidden="0" customHeight="1">
      <x:c r="C47" s="2" t="str">
        <x:v>  Base</x:v>
      </x:c>
      <x:c r="D47" s="2" t="str">
        <x:v>%</x:v>
      </x:c>
      <x:c r="E47" s="30" t="n">
        <x:v>0.06</x:v>
      </x:c>
      <x:c r="F47" s="30" t="n">
        <x:v>0.058</x:v>
      </x:c>
      <x:c r="G47" s="30" t="n">
        <x:v>0.055</x:v>
      </x:c>
      <x:c r="H47" s="30" t="n">
        <x:v>0.052</x:v>
      </x:c>
      <x:c r="I47" s="30" t="n">
        <x:v>0.05</x:v>
      </x:c>
      <x:c r="J47" s="30" t="n">
        <x:v>0.05</x:v>
      </x:c>
      <x:c r="K47" s="2"/>
    </x:row>
    <x:row r="48" ht="15" hidden="0" customHeight="1">
      <x:c r="C48" s="2" t="str">
        <x:v>  Downside</x:v>
      </x:c>
      <x:c r="D48" s="2" t="str">
        <x:v>%</x:v>
      </x:c>
      <x:c r="E48" s="30" t="n">
        <x:v>0.06</x:v>
      </x:c>
      <x:c r="F48" s="30" t="n">
        <x:v>0.058</x:v>
      </x:c>
      <x:c r="G48" s="30" t="n">
        <x:v>0.055</x:v>
      </x:c>
      <x:c r="H48" s="30" t="n">
        <x:v>0.052</x:v>
      </x:c>
      <x:c r="I48" s="30" t="n">
        <x:v>0.05</x:v>
      </x:c>
      <x:c r="J48" s="30" t="n">
        <x:v>0.05</x:v>
      </x:c>
      <x:c r="K48" s="2"/>
    </x:row>
    <x:row r="49" ht="15" hidden="0" customHeight="1">
      <x:c r="C49" s="2"/>
      <x:c r="D49" s="2"/>
      <x:c r="E49" s="2"/>
      <x:c r="F49" s="2"/>
      <x:c r="G49" s="2"/>
      <x:c r="H49" s="2"/>
      <x:c r="I49" s="2"/>
      <x:c r="J49" s="2"/>
      <x:c r="K49" s="2"/>
    </x:row>
    <x:row r="50" ht="34" hidden="0" customHeight="1">
      <x:c r="C50" s="26" t="str">
        <x:v>Change in working capital / incremental revenue</x:v>
      </x:c>
      <x:c r="D50" s="26" t="str">
        <x:v>%</x:v>
      </x:c>
      <x:c r="E50" s="29" t="n">
        <x:f>CHOOSE($D$5,E51,E52)</x:f>
        <x:v>0.02</x:v>
      </x:c>
      <x:c r="F50" s="29" t="n">
        <x:f>CHOOSE($D$5,F51,F52)</x:f>
        <x:v>0.02</x:v>
      </x:c>
      <x:c r="G50" s="29" t="n">
        <x:f>CHOOSE($D$5,G51,G52)</x:f>
        <x:v>0.02</x:v>
      </x:c>
      <x:c r="H50" s="29" t="n">
        <x:f>CHOOSE($D$5,H51,H52)</x:f>
        <x:v>0.02</x:v>
      </x:c>
      <x:c r="I50" s="29" t="n">
        <x:f>CHOOSE($D$5,I51,I52)</x:f>
        <x:v>0.02</x:v>
      </x:c>
      <x:c r="J50" s="29" t="n">
        <x:f>CHOOSE($D$5,J51,J52)</x:f>
        <x:v>0.02</x:v>
      </x:c>
      <x:c r="K50" s="33" t="str">
        <x:v>Reported working-capital cash effects were volatile. Forecast uses a positive investment tied to incremental revenue instead of extrapolating one year.</x:v>
      </x:c>
    </x:row>
    <x:row r="51" ht="15" hidden="0" customHeight="1">
      <x:c r="C51" s="2" t="str">
        <x:v>  Base</x:v>
      </x:c>
      <x:c r="D51" s="2" t="str">
        <x:v>%</x:v>
      </x:c>
      <x:c r="E51" s="30" t="n">
        <x:v>0.02</x:v>
      </x:c>
      <x:c r="F51" s="30" t="n">
        <x:v>0.02</x:v>
      </x:c>
      <x:c r="G51" s="30" t="n">
        <x:v>0.02</x:v>
      </x:c>
      <x:c r="H51" s="30" t="n">
        <x:v>0.02</x:v>
      </x:c>
      <x:c r="I51" s="30" t="n">
        <x:v>0.02</x:v>
      </x:c>
      <x:c r="J51" s="30" t="n">
        <x:v>0.02</x:v>
      </x:c>
      <x:c r="K51" s="2"/>
    </x:row>
    <x:row r="52" ht="15" hidden="0" customHeight="1">
      <x:c r="C52" s="2" t="str">
        <x:v>  Downside</x:v>
      </x:c>
      <x:c r="D52" s="2" t="str">
        <x:v>%</x:v>
      </x:c>
      <x:c r="E52" s="30" t="n">
        <x:v>0.035</x:v>
      </x:c>
      <x:c r="F52" s="30" t="n">
        <x:v>0.035</x:v>
      </x:c>
      <x:c r="G52" s="30" t="n">
        <x:v>0.035</x:v>
      </x:c>
      <x:c r="H52" s="30" t="n">
        <x:v>0.035</x:v>
      </x:c>
      <x:c r="I52" s="30" t="n">
        <x:v>0.035</x:v>
      </x:c>
      <x:c r="J52" s="30" t="n">
        <x:v>0.035</x:v>
      </x:c>
      <x:c r="K52" s="2"/>
    </x:row>
    <x:row r="53" ht="15" hidden="0" customHeight="1">
      <x:c r="C53" s="2"/>
      <x:c r="D53" s="2"/>
      <x:c r="E53" s="2"/>
      <x:c r="F53" s="2"/>
      <x:c r="G53" s="2"/>
      <x:c r="H53" s="2"/>
      <x:c r="I53" s="2"/>
      <x:c r="J53" s="2"/>
      <x:c r="K53" s="2"/>
    </x:row>
    <x:row r="54" ht="15" hidden="0" customHeight="1">
      <x:c r="C54" s="34" t="str">
        <x:v>FY2025 assumptions use 9M2025 issuer data as the forecast-origin anchor. Later FY2025 actuals remain outside Clock A.</x:v>
      </x:c>
      <x:c r="D54" s="34" t="str">
        <x:v>FY2025 assumptions use 9M2025 issuer data as the forecast-origin anchor. Later FY2025 actuals remain outside Clock A.</x:v>
      </x:c>
      <x:c r="E54" s="34" t="str">
        <x:v>FY2025 assumptions use 9M2025 issuer data as the forecast-origin anchor. Later FY2025 actuals remain outside Clock A.</x:v>
      </x:c>
      <x:c r="F54" s="34" t="str">
        <x:v>FY2025 assumptions use 9M2025 issuer data as the forecast-origin anchor. Later FY2025 actuals remain outside Clock A.</x:v>
      </x:c>
      <x:c r="G54" s="34" t="str">
        <x:v>FY2025 assumptions use 9M2025 issuer data as the forecast-origin anchor. Later FY2025 actuals remain outside Clock A.</x:v>
      </x:c>
      <x:c r="H54" s="34" t="str">
        <x:v>FY2025 assumptions use 9M2025 issuer data as the forecast-origin anchor. Later FY2025 actuals remain outside Clock A.</x:v>
      </x:c>
      <x:c r="I54" s="34" t="str">
        <x:v>FY2025 assumptions use 9M2025 issuer data as the forecast-origin anchor. Later FY2025 actuals remain outside Clock A.</x:v>
      </x:c>
      <x:c r="J54" s="34" t="str">
        <x:v>FY2025 assumptions use 9M2025 issuer data as the forecast-origin anchor. Later FY2025 actuals remain outside Clock A.</x:v>
      </x:c>
      <x:c r="K54" s="2" t="str">
        <x:v>FY2025 assumptions use 9M2025 issuer data as the forecast-origin anchor. Later FY2025 actuals remain outside Clock A.</x:v>
      </x:c>
    </x:row>
    <x:row r="55" ht="15" hidden="0" customHeight="1">
      <x:c r="C55" s="2"/>
      <x:c r="D55" s="2"/>
      <x:c r="E55" s="2"/>
      <x:c r="F55" s="2"/>
      <x:c r="G55" s="2"/>
      <x:c r="H55" s="2"/>
      <x:c r="I55" s="2"/>
      <x:c r="J55" s="2"/>
      <x:c r="K55" s="2"/>
    </x:row>
    <x:row r="56" ht="15" hidden="0" customHeight="1">
      <x:c r="C56" s="2"/>
      <x:c r="D56" s="2"/>
      <x:c r="E56" s="2"/>
      <x:c r="F56" s="2"/>
      <x:c r="G56" s="2"/>
      <x:c r="H56" s="2"/>
      <x:c r="I56" s="2"/>
      <x:c r="J56" s="2"/>
      <x:c r="K56" s="2"/>
    </x:row>
    <x:row r="57" ht="15" hidden="0" customHeight="1">
      <x:c r="C57" s="35" t="str">
        <x:v>Valuation assumptions</x:v>
      </x:c>
      <x:c r="D57" s="36" t="str">
        <x:v>Valuation assumptions</x:v>
      </x:c>
      <x:c r="E57" s="36" t="str">
        <x:v>Valuation assumptions</x:v>
      </x:c>
      <x:c r="F57" s="36" t="str">
        <x:v>Valuation assumptions</x:v>
      </x:c>
      <x:c r="G57" s="36" t="str">
        <x:v>Valuation assumptions</x:v>
      </x:c>
      <x:c r="H57" s="36" t="str">
        <x:v>Valuation assumptions</x:v>
      </x:c>
      <x:c r="I57" s="36" t="str">
        <x:v>Valuation assumptions</x:v>
      </x:c>
      <x:c r="J57" s="36" t="str">
        <x:v>Valuation assumptions</x:v>
      </x:c>
      <x:c r="K57" s="37" t="str">
        <x:v>Valuation assumptions</x:v>
      </x:c>
    </x:row>
    <x:row r="58" ht="15" hidden="0" customHeight="1">
      <x:c r="C58" s="2"/>
      <x:c r="D58" s="2"/>
      <x:c r="E58" s="2"/>
      <x:c r="F58" s="2"/>
      <x:c r="G58" s="2"/>
      <x:c r="H58" s="2"/>
      <x:c r="I58" s="2"/>
      <x:c r="J58" s="2"/>
      <x:c r="K58" s="2"/>
    </x:row>
    <x:row r="59" ht="15" hidden="0" customHeight="1">
      <x:c r="C59" s="21" t="str">
        <x:v>Parameter</x:v>
      </x:c>
      <x:c r="D59" s="22" t="str">
        <x:v>Unit</x:v>
      </x:c>
      <x:c r="E59" s="23" t="str">
        <x:v>Input</x:v>
      </x:c>
      <x:c r="F59" s="2"/>
      <x:c r="G59" s="2"/>
      <x:c r="H59" s="2"/>
      <x:c r="I59" s="2"/>
      <x:c r="J59" s="2"/>
      <x:c r="K59" s="40" t="str">
        <x:v>Rationale / evidence</x:v>
      </x:c>
    </x:row>
    <x:row r="60" ht="28" hidden="0" customHeight="1">
      <x:c r="C60" s="2" t="str">
        <x:v>Valuation date</x:v>
      </x:c>
      <x:c r="D60" s="2" t="str">
        <x:v>Date</x:v>
      </x:c>
      <x:c r="E60" s="42" t="n">
        <x:v>45961</x:v>
      </x:c>
      <x:c r="F60" s="2"/>
      <x:c r="G60" s="2"/>
      <x:c r="H60" s="2"/>
      <x:c r="I60" s="2"/>
      <x:c r="J60" s="2"/>
      <x:c r="K60" s="48" t="str">
        <x:v>Clock A cutoff; all operating and balance-sheet information was public by this date.</x:v>
      </x:c>
    </x:row>
    <x:row r="61" ht="28" customHeight="1">
      <x:c r="C61" s="2" t="str">
        <x:v>Vietnam 10-year government bond yield</x:v>
      </x:c>
      <x:c r="D61" s="2" t="str">
        <x:v>%</x:v>
      </x:c>
      <x:c r="E61" s="43" t="n">
        <x:v>0.03414</x:v>
      </x:c>
      <x:c r="F61" s="2"/>
      <x:c r="G61" s="2"/>
      <x:c r="H61" s="2"/>
      <x:c r="I61" s="2"/>
      <x:c r="J61" s="2"/>
      <x:c r="K61" s="48" t="str">
        <x:v>Secondary-market 10-year government bond yield at 31-Oct-2025 (SSC monthly market report).</x:v>
      </x:c>
    </x:row>
    <x:row r="62" ht="28" customHeight="1">
      <x:c r="C62" s="2" t="str">
        <x:v>Vietnam equity risk premium</x:v>
      </x:c>
      <x:c r="D62" s="2" t="str">
        <x:v>%</x:v>
      </x:c>
      <x:c r="E62" s="43" t="n">
        <x:v>0.0835</x:v>
      </x:c>
      <x:c r="F62" s="2"/>
      <x:c r="G62" s="2"/>
      <x:c r="H62" s="2"/>
      <x:c r="I62" s="2"/>
      <x:c r="J62" s="2"/>
      <x:c r="K62" s="48" t="str">
        <x:v>January 2025 Damodaran-based Vietnam ERP used in Vietnam broker research.</x:v>
      </x:c>
    </x:row>
    <x:row r="63" ht="28" customHeight="1">
      <x:c r="C63" s="2" t="str">
        <x:v>Levered beta</x:v>
      </x:c>
      <x:c r="D63" s="2" t="str">
        <x:v>x</x:v>
      </x:c>
      <x:c r="E63" s="44" t="n">
        <x:v>0.9</x:v>
      </x:c>
      <x:c r="F63" s="2"/>
      <x:c r="G63" s="2"/>
      <x:c r="H63" s="2"/>
      <x:c r="I63" s="2"/>
      <x:c r="J63" s="2"/>
      <x:c r="K63" s="48" t="str">
        <x:v>FPT-specific beta used by Yuanta in its 03-Sep-2025 report.</x:v>
      </x:c>
    </x:row>
    <x:row r="64" ht="28" customHeight="1">
      <x:c r="C64" s="2" t="str">
        <x:v>Pre-tax cost of debt</x:v>
      </x:c>
      <x:c r="D64" s="2" t="str">
        <x:v>%</x:v>
      </x:c>
      <x:c r="E64" s="30" t="n">
        <x:v>0.0465</x:v>
      </x:c>
      <x:c r="F64" s="2"/>
      <x:c r="G64" s="2"/>
      <x:c r="H64" s="2"/>
      <x:c r="I64" s="2"/>
      <x:c r="J64" s="2"/>
      <x:c r="K64" s="48" t="str">
        <x:v>Annualised 9M2025 interest expense divided by average reported borrowings; rounded.</x:v>
      </x:c>
    </x:row>
    <x:row r="65" ht="28" customHeight="1">
      <x:c r="C65" s="2" t="str">
        <x:v>Normalised tax rate</x:v>
      </x:c>
      <x:c r="D65" s="2" t="str">
        <x:v>%</x:v>
      </x:c>
      <x:c r="E65" s="30" t="n">
        <x:v>0.15</x:v>
      </x:c>
      <x:c r="F65" s="2"/>
      <x:c r="G65" s="2"/>
      <x:c r="H65" s="2"/>
      <x:c r="I65" s="2"/>
      <x:c r="J65" s="2"/>
      <x:c r="K65" s="48" t="str">
        <x:v>Within FPT's historical effective-tax range and close to the 9M2025 effective rate.</x:v>
      </x:c>
    </x:row>
    <x:row r="66" ht="28" customHeight="1">
      <x:c r="C66" s="2" t="str">
        <x:v>Terminal growth rate</x:v>
      </x:c>
      <x:c r="D66" s="2" t="str">
        <x:v>%</x:v>
      </x:c>
      <x:c r="E66" s="30" t="n">
        <x:v>0.04</x:v>
      </x:c>
      <x:c r="F66" s="2"/>
      <x:c r="G66" s="2"/>
      <x:c r="H66" s="2"/>
      <x:c r="I66" s="2"/>
      <x:c r="J66" s="2"/>
      <x:c r="K66" s="48" t="str">
        <x:v>Nominal VND perpetual growth; below the explicit forecast and tested in sensitivity.</x:v>
      </x:c>
    </x:row>
    <x:row r="67" ht="28" customHeight="1">
      <x:c r="C67" s="2" t="str">
        <x:v>Cash included in equity bridge</x:v>
      </x:c>
      <x:c r="D67" s="2" t="str">
        <x:v>%</x:v>
      </x:c>
      <x:c r="E67" s="30" t="n">
        <x:v>1</x:v>
      </x:c>
      <x:c r="F67" s="2"/>
      <x:c r="G67" s="2"/>
      <x:c r="H67" s="2"/>
      <x:c r="I67" s="2"/>
      <x:c r="J67" s="2"/>
      <x:c r="K67" s="48" t="str">
        <x:v>Editable haircut for cash considered excess to operations.</x:v>
      </x:c>
    </x:row>
    <x:row r="68" ht="28" customHeight="1">
      <x:c r="C68" s="2" t="str">
        <x:v>Short-term investments included</x:v>
      </x:c>
      <x:c r="D68" s="2" t="str">
        <x:v>%</x:v>
      </x:c>
      <x:c r="E68" s="30" t="n">
        <x:v>1</x:v>
      </x:c>
      <x:c r="F68" s="2"/>
      <x:c r="G68" s="2"/>
      <x:c r="H68" s="2"/>
      <x:c r="I68" s="2"/>
      <x:c r="J68" s="2"/>
      <x:c r="K68" s="48" t="str">
        <x:v>Editable haircut for deposits and held-to-maturity short-term investments.</x:v>
      </x:c>
    </x:row>
    <x:row r="69" ht="28" customHeight="1">
      <x:c r="C69" s="2" t="str">
        <x:v>Non-operating investments included</x:v>
      </x:c>
      <x:c r="D69" s="2" t="str">
        <x:v>%</x:v>
      </x:c>
      <x:c r="E69" s="30" t="n">
        <x:v>1</x:v>
      </x:c>
      <x:c r="F69" s="2"/>
      <x:c r="G69" s="2"/>
      <x:c r="H69" s="2"/>
      <x:c r="I69" s="2"/>
      <x:c r="J69" s="2"/>
      <x:c r="K69" s="48" t="str">
        <x:v>Applies to associates and net other long-term financial investments.</x:v>
      </x:c>
    </x:row>
    <x:row r="70" ht="28" customHeight="1">
      <x:c r="C70" s="2" t="str">
        <x:v>FPT closing price</x:v>
      </x:c>
      <x:c r="D70" s="2" t="str">
        <x:v>VND / share</x:v>
      </x:c>
      <x:c r="E70" s="45" t="n">
        <x:v>102830</x:v>
      </x:c>
      <x:c r="F70" s="2"/>
      <x:c r="G70" s="2"/>
      <x:c r="H70" s="2"/>
      <x:c r="I70" s="2"/>
      <x:c r="J70" s="2"/>
      <x:c r="K70" s="48" t="str">
        <x:v>Unadjusted closing price at 31-Oct-2025; historical price identified as sourced from HOSE.</x:v>
      </x:c>
    </x:row>
    <x:row r="71">
      <x:c r="C71" s="2"/>
      <x:c r="D71" s="2"/>
      <x:c r="E71" s="2"/>
      <x:c r="F71" s="2"/>
      <x:c r="G71" s="2"/>
      <x:c r="H71" s="2"/>
      <x:c r="I71" s="2"/>
      <x:c r="J71" s="2"/>
      <x:c r="K71" s="2"/>
    </x:row>
    <x:row r="72">
      <x:c r="C72" s="2"/>
      <x:c r="D72" s="2"/>
      <x:c r="E72" s="2"/>
      <x:c r="F72" s="2"/>
      <x:c r="G72" s="2"/>
      <x:c r="H72" s="2"/>
      <x:c r="I72" s="2"/>
      <x:c r="J72" s="2"/>
      <x:c r="K72" s="2"/>
    </x:row>
    <x:row r="73">
      <x:c r="C73" s="35" t="str">
        <x:v>Comparable-valuation assumptions</x:v>
      </x:c>
      <x:c r="D73" s="36" t="str">
        <x:v>Comparable-valuation assumptions</x:v>
      </x:c>
      <x:c r="E73" s="36" t="str">
        <x:v>Comparable-valuation assumptions</x:v>
      </x:c>
      <x:c r="F73" s="36" t="str">
        <x:v>Comparable-valuation assumptions</x:v>
      </x:c>
      <x:c r="G73" s="36" t="str">
        <x:v>Comparable-valuation assumptions</x:v>
      </x:c>
      <x:c r="H73" s="36" t="str">
        <x:v>Comparable-valuation assumptions</x:v>
      </x:c>
      <x:c r="I73" s="36" t="str">
        <x:v>Comparable-valuation assumptions</x:v>
      </x:c>
      <x:c r="J73" s="36" t="str">
        <x:v>Comparable-valuation assumptions</x:v>
      </x:c>
      <x:c r="K73" s="37" t="str">
        <x:v>Comparable-valuation assumptions</x:v>
      </x:c>
    </x:row>
    <x:row r="74">
      <x:c r="C74" s="2"/>
      <x:c r="D74" s="2"/>
      <x:c r="E74" s="2"/>
      <x:c r="F74" s="2"/>
      <x:c r="G74" s="2"/>
      <x:c r="H74" s="2"/>
      <x:c r="I74" s="2"/>
      <x:c r="J74" s="2"/>
      <x:c r="K74" s="2"/>
    </x:row>
    <x:row r="75">
      <x:c r="C75" s="21" t="str">
        <x:v>Parameter</x:v>
      </x:c>
      <x:c r="D75" s="22" t="str">
        <x:v>Unit</x:v>
      </x:c>
      <x:c r="E75" s="23" t="str">
        <x:v>Input</x:v>
      </x:c>
      <x:c r="F75" s="2"/>
      <x:c r="G75" s="2"/>
      <x:c r="H75" s="2"/>
      <x:c r="I75" s="2"/>
      <x:c r="J75" s="2"/>
      <x:c r="K75" s="40" t="str">
        <x:v>Rationale / evidence</x:v>
      </x:c>
    </x:row>
    <x:row r="76" ht="28" customHeight="1">
      <x:c r="C76" s="2" t="str">
        <x:v>DCF weight in blended value</x:v>
      </x:c>
      <x:c r="D76" s="2" t="str">
        <x:v>%</x:v>
      </x:c>
      <x:c r="E76" s="30" t="n">
        <x:v>0.6</x:v>
      </x:c>
      <x:c r="F76" s="2"/>
      <x:c r="G76" s="2"/>
      <x:c r="H76" s="2"/>
      <x:c r="I76" s="2"/>
      <x:c r="J76" s="2"/>
      <x:c r="K76" s="48" t="str">
        <x:v>The DCF remains the primary method because it reflects FPT-specific cash generation and capital intensity.</x:v>
      </x:c>
    </x:row>
    <x:row r="77" ht="28" customHeight="1">
      <x:c r="C77" s="2" t="str">
        <x:v>Comparable-valuation weight</x:v>
      </x:c>
      <x:c r="D77" s="2" t="str">
        <x:v>%</x:v>
      </x:c>
      <x:c r="E77" s="49" t="n">
        <x:f>1-E76</x:f>
        <x:v>0.4</x:v>
      </x:c>
      <x:c r="F77" s="2"/>
      <x:c r="G77" s="2"/>
      <x:c r="H77" s="2"/>
      <x:c r="I77" s="2"/>
      <x:c r="J77" s="2"/>
      <x:c r="K77" s="48" t="str">
        <x:v>Calculated as one less the DCF weight.</x:v>
      </x:c>
    </x:row>
    <x:row r="78" ht="28" customHeight="1">
      <x:c r="C78" s="2" t="str">
        <x:v>Peer-multiple adjustment</x:v>
      </x:c>
      <x:c r="D78" s="2" t="str">
        <x:v>%</x:v>
      </x:c>
      <x:c r="E78" s="30" t="n">
        <x:v>-0.05</x:v>
      </x:c>
      <x:c r="F78" s="2"/>
      <x:c r="G78" s="2"/>
      <x:c r="H78" s="2"/>
      <x:c r="I78" s="2"/>
      <x:c r="J78" s="2"/>
      <x:c r="K78" s="48" t="str">
        <x:v>A 5% conglomerate and comparability adjustment is applied to the segment-mix peer median.</x:v>
      </x:c>
    </x:row>
    <x:row r="79" ht="28" customHeight="1">
      <x:c r="C79" s="2" t="str">
        <x:v>FPT observed 2026F P/E reference</x:v>
      </x:c>
      <x:c r="D79" s="2" t="str">
        <x:v>x</x:v>
      </x:c>
      <x:c r="E79" s="51" t="n">
        <x:v>17</x:v>
      </x:c>
      <x:c r="F79" s="2"/>
      <x:c r="G79" s="2"/>
      <x:c r="H79" s="2"/>
      <x:c r="I79" s="2"/>
      <x:c r="J79" s="2"/>
      <x:c r="K79" s="48" t="str">
        <x:v>Vietcap observed FPT at 17.0x 2026F P/E using data at 21-Oct-2025; used as the low-end market reference.</x:v>
      </x:c>
    </x:row>
    <x:row r="80">
      <x:c r="C80" s="2"/>
      <x:c r="D80" s="2"/>
      <x:c r="E80" s="2"/>
      <x:c r="F80" s="2"/>
      <x:c r="G80" s="2"/>
      <x:c r="H80" s="2"/>
      <x:c r="I80" s="2"/>
      <x:c r="J80" s="2"/>
      <x:c r="K80" s="2"/>
    </x:row>
    <x:row r="81">
      <x:c r="C81" s="2"/>
      <x:c r="D81" s="2"/>
      <x:c r="E81" s="2"/>
      <x:c r="F81" s="2"/>
      <x:c r="G81" s="2"/>
      <x:c r="H81" s="2"/>
      <x:c r="I81" s="2"/>
      <x:c r="J81" s="2"/>
      <x:c r="K81" s="2"/>
    </x:row>
    <x:row r="82">
      <x:c r="C82" s="2"/>
      <x:c r="D82" s="2"/>
      <x:c r="E82" s="2"/>
      <x:c r="F82" s="2"/>
      <x:c r="G82" s="2"/>
      <x:c r="H82" s="2"/>
      <x:c r="I82" s="2"/>
      <x:c r="J82" s="2"/>
      <x:c r="K82" s="2"/>
    </x:row>
    <x:row r="83">
      <x:c r="C83" s="2"/>
      <x:c r="D83" s="2"/>
      <x:c r="E83" s="2"/>
      <x:c r="F83" s="2"/>
      <x:c r="G83" s="2"/>
      <x:c r="H83" s="2"/>
      <x:c r="I83" s="2"/>
      <x:c r="J83" s="2"/>
      <x:c r="K83" s="2"/>
    </x:row>
    <x:row r="84">
      <x:c r="C84" s="2"/>
      <x:c r="D84" s="2"/>
      <x:c r="E84" s="2"/>
      <x:c r="F84" s="2"/>
      <x:c r="G84" s="2"/>
      <x:c r="H84" s="2"/>
      <x:c r="I84" s="2"/>
      <x:c r="J84" s="2"/>
      <x:c r="K84" s="2"/>
    </x:row>
  </x:sheetData>
  <x:mergeCells>
    <x:mergeCell ref="C54:K54"/>
    <x:mergeCell ref="C57:K57"/>
    <x:mergeCell ref="C73:K73"/>
  </x:mergeCells>
  <x:dataValidations count="1">
    <x:dataValidation type="whole" operator="between" sqref="D5">
      <x:formula1>1</x:formula1>
      <x:formula2>2</x:formula2>
    </x:dataValidation>
  </x:dataValidations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Pr>
    <x:tabColor rgb="FF17365D"/>
  </x:sheetPr>
  <x:sheetViews>
    <x:sheetView showGridLines="0" workbookViewId="0">
      <x:pane xSplit="3" ySplit="5" topLeftCell="D6" activePane="bottomRight" state="frozen"/>
    </x:sheetView>
  </x:sheetViews>
  <x:sheetFormatPr defaultRowHeight="15"/>
  <x:cols>
    <x:col min="1" max="1" width="3" hidden="0" customWidth="1"/>
    <x:col min="2" max="2" width="3" hidden="0" customWidth="1"/>
    <x:col min="3" max="3" width="38" hidden="0" customWidth="1"/>
    <x:col min="4" max="4" width="14" hidden="0" customWidth="1"/>
    <x:col min="5" max="5" width="17" hidden="0" customWidth="1"/>
    <x:col min="6" max="6" width="58" hidden="0" customWidth="1"/>
    <x:col min="7" max="7" width="14" hidden="0" customWidth="1"/>
    <x:col min="8" max="8" width="14" hidden="0" customWidth="1"/>
    <x:col min="11" max="11" width="34" hidden="0" customWidth="1"/>
    <x:col min="12" max="12" width="14" hidden="0" customWidth="1"/>
    <x:col min="13" max="13" width="17" hidden="0" customWidth="1"/>
    <x:col min="14" max="14" width="46" hidden="0" customWidth="1"/>
    <x:col min="15" max="15" width="14" hidden="0" customWidth="1"/>
    <x:col min="16" max="16" width="14" hidden="0" customWidth="1"/>
    <x:col min="17" max="17" width="14" hidden="0" customWidth="1"/>
  </x:cols>
  <x:sheetData>
    <x:row r="2" ht="18" hidden="0" customHeight="1">
      <x:c r="C2" s="3" t="str">
        <x:v>FPT discounted cash flow valuation</x:v>
      </x:c>
      <x:c r="D2" s="2"/>
      <x:c r="E2" s="2"/>
      <x:c r="F2" s="2"/>
      <x:c r="G2" s="2"/>
      <x:c r="H2" s="2"/>
      <x:c r="I2" s="2"/>
      <x:c r="J2" s="2"/>
      <x:c r="K2" s="2"/>
      <x:c r="L2" s="2"/>
      <x:c r="M2" s="2"/>
      <x:c r="N2" s="2"/>
      <x:c r="O2" s="2"/>
      <x:c r="P2" s="2"/>
      <x:c r="Q2" s="2"/>
    </x:row>
    <x:row r="3" ht="15" hidden="0" customHeight="1">
      <x:c r="C3" s="4" t="str">
        <x:v>Valuation date 31-Oct-2025. Explicit FCFF begins in FY2026 to avoid counting cash flows earned before the valuation date.</x:v>
      </x:c>
      <x:c r="D3" s="2"/>
      <x:c r="E3" s="2"/>
      <x:c r="F3" s="2"/>
      <x:c r="G3" s="2"/>
      <x:c r="H3" s="2"/>
      <x:c r="I3" s="2"/>
      <x:c r="J3" s="2"/>
      <x:c r="K3" s="2"/>
      <x:c r="L3" s="2"/>
      <x:c r="M3" s="2"/>
      <x:c r="N3" s="2"/>
      <x:c r="O3" s="2"/>
      <x:c r="P3" s="2"/>
      <x:c r="Q3" s="2"/>
    </x:row>
    <x:row r="4" ht="15" hidden="0" customHeight="1">
      <x:c r="C4" s="5"/>
      <x:c r="D4" s="5"/>
      <x:c r="E4" s="5"/>
      <x:c r="F4" s="5"/>
      <x:c r="G4" s="5"/>
      <x:c r="H4" s="5"/>
      <x:c r="I4" s="5"/>
      <x:c r="J4" s="5"/>
      <x:c r="K4" s="5"/>
      <x:c r="L4" s="5"/>
      <x:c r="M4" s="5"/>
      <x:c r="N4" s="5"/>
      <x:c r="O4" s="5"/>
      <x:c r="P4" s="5"/>
      <x:c r="Q4" s="5"/>
    </x:row>
    <x:row r="5" ht="15" hidden="0" customHeight="1">
      <x:c r="C5" s="21" t="str">
        <x:v>Cost of capital</x:v>
      </x:c>
      <x:c r="D5" s="22" t="str">
        <x:v>Unit</x:v>
      </x:c>
      <x:c r="E5" s="22" t="str">
        <x:v>Value</x:v>
      </x:c>
      <x:c r="F5" s="23" t="str">
        <x:v>Calculation / source</x:v>
      </x:c>
      <x:c r="G5" s="2"/>
      <x:c r="H5" s="2"/>
      <x:c r="I5" s="2"/>
      <x:c r="J5" s="2"/>
      <x:c r="K5" s="21" t="str">
        <x:v>Reverse DCF</x:v>
      </x:c>
      <x:c r="L5" s="22" t="str">
        <x:v>Unit</x:v>
      </x:c>
      <x:c r="M5" s="22" t="str">
        <x:v>Value</x:v>
      </x:c>
      <x:c r="N5" s="23" t="str">
        <x:v>Interpretation</x:v>
      </x:c>
      <x:c r="O5" s="2"/>
      <x:c r="P5" s="2"/>
      <x:c r="Q5" s="2"/>
    </x:row>
    <x:row r="6" ht="15" hidden="0" customHeight="1">
      <x:c r="C6" s="2" t="str">
        <x:v>Valuation date</x:v>
      </x:c>
      <x:c r="D6" s="2" t="str">
        <x:v>Date</x:v>
      </x:c>
      <x:c r="E6" s="64" t="n">
        <x:f>'Assumptions'!E60</x:f>
        <x:v>45961</x:v>
      </x:c>
      <x:c r="F6" s="2" t="str">
        <x:v>Assumptions</x:v>
      </x:c>
      <x:c r="G6" s="2"/>
      <x:c r="H6" s="2"/>
      <x:c r="I6" s="2"/>
      <x:c r="J6" s="2"/>
      <x:c r="K6" s="2" t="str">
        <x:v>Market capitalisation</x:v>
      </x:c>
      <x:c r="L6" s="2" t="str">
        <x:v>VND bn</x:v>
      </x:c>
      <x:c r="M6" s="53" t="n">
        <x:f>E14</x:f>
        <x:v>175171.63725243002</x:v>
      </x:c>
      <x:c r="N6" s="2" t="str">
        <x:v>Observed equity value</x:v>
      </x:c>
      <x:c r="O6" s="2"/>
      <x:c r="P6" s="2"/>
      <x:c r="Q6" s="2"/>
    </x:row>
    <x:row r="7" ht="15" hidden="0" customHeight="1">
      <x:c r="C7" s="2" t="str">
        <x:v>Risk-free rate</x:v>
      </x:c>
      <x:c r="D7" s="2" t="str">
        <x:v>%</x:v>
      </x:c>
      <x:c r="E7" s="65" t="n">
        <x:f>'Assumptions'!E61</x:f>
        <x:v>0.03414</x:v>
      </x:c>
      <x:c r="F7" s="2" t="str">
        <x:v>Vietnam 10-year government bond yield</x:v>
      </x:c>
      <x:c r="G7" s="2"/>
      <x:c r="H7" s="2"/>
      <x:c r="I7" s="2"/>
      <x:c r="J7" s="2"/>
      <x:c r="K7" s="2" t="str">
        <x:v>Market-implied enterprise value</x:v>
      </x:c>
      <x:c r="L7" s="2" t="str">
        <x:v>VND bn</x:v>
      </x:c>
      <x:c r="M7" s="53" t="n">
        <x:f>M6+E11+'Q3 Balance'!E13-E38-E39-E40-E41</x:f>
        <x:v>160838.06132719302</x:v>
      </x:c>
      <x:c r="N7" s="2" t="str">
        <x:v>EV after the same bridge used by the DCF</x:v>
      </x:c>
      <x:c r="O7" s="2"/>
      <x:c r="P7" s="2"/>
      <x:c r="Q7" s="2"/>
    </x:row>
    <x:row r="8" ht="15" hidden="0" customHeight="1">
      <x:c r="C8" s="2" t="str">
        <x:v>Equity risk premium</x:v>
      </x:c>
      <x:c r="D8" s="2" t="str">
        <x:v>%</x:v>
      </x:c>
      <x:c r="E8" s="65" t="n">
        <x:f>'Assumptions'!E62</x:f>
        <x:v>0.0835</x:v>
      </x:c>
      <x:c r="F8" s="2" t="str">
        <x:v>Vietnam ERP</x:v>
      </x:c>
      <x:c r="G8" s="2"/>
      <x:c r="H8" s="2"/>
      <x:c r="I8" s="2"/>
      <x:c r="J8" s="2"/>
      <x:c r="K8" s="2" t="str">
        <x:v>PV of explicit FCFF</x:v>
      </x:c>
      <x:c r="L8" s="2" t="str">
        <x:v>VND bn</x:v>
      </x:c>
      <x:c r="M8" s="53" t="n">
        <x:f>E33</x:f>
        <x:v>48945.60490316058</x:v>
      </x:c>
      <x:c r="N8" s="2" t="str">
        <x:v>Base-case operating forecast</x:v>
      </x:c>
      <x:c r="O8" s="2"/>
      <x:c r="P8" s="2"/>
      <x:c r="Q8" s="2"/>
    </x:row>
    <x:row r="9" ht="15" hidden="0" customHeight="1">
      <x:c r="C9" s="2" t="str">
        <x:v>Levered beta</x:v>
      </x:c>
      <x:c r="D9" s="2" t="str">
        <x:v>x</x:v>
      </x:c>
      <x:c r="E9" s="66" t="n">
        <x:f>'Assumptions'!E63</x:f>
        <x:v>0.9</x:v>
      </x:c>
      <x:c r="F9" s="2" t="str">
        <x:v>FPT-specific beta</x:v>
      </x:c>
      <x:c r="G9" s="2"/>
      <x:c r="H9" s="2"/>
      <x:c r="I9" s="2"/>
      <x:c r="J9" s="2"/>
      <x:c r="K9" s="2" t="str">
        <x:v>Market-implied PV of terminal value</x:v>
      </x:c>
      <x:c r="L9" s="2" t="str">
        <x:v>VND bn</x:v>
      </x:c>
      <x:c r="M9" s="53" t="n">
        <x:f>M7-M8</x:f>
        <x:v>111892.45642403244</x:v>
      </x:c>
      <x:c r="N9" s="2" t="str">
        <x:v>Residual value assigned by the market</x:v>
      </x:c>
      <x:c r="O9" s="2"/>
      <x:c r="P9" s="2"/>
      <x:c r="Q9" s="2"/>
    </x:row>
    <x:row r="10" ht="15" hidden="0" customHeight="1">
      <x:c r="C10" s="2" t="str">
        <x:v>Cost of equity</x:v>
      </x:c>
      <x:c r="D10" s="2" t="str">
        <x:v>%</x:v>
      </x:c>
      <x:c r="E10" s="62" t="n">
        <x:f>E7+E8*E9</x:f>
        <x:v>0.10929</x:v>
      </x:c>
      <x:c r="F10" s="2" t="str">
        <x:v>Risk-free rate + beta x ERP</x:v>
      </x:c>
      <x:c r="G10" s="2"/>
      <x:c r="H10" s="2"/>
      <x:c r="I10" s="2"/>
      <x:c r="J10" s="2"/>
      <x:c r="K10" s="2" t="str">
        <x:v>Market-implied terminal value at 2030</x:v>
      </x:c>
      <x:c r="L10" s="2" t="str">
        <x:v>VND bn</x:v>
      </x:c>
      <x:c r="M10" s="53" t="n">
        <x:f>M9*(1+$E$20)^5.17</x:f>
        <x:v>185112.8895491007</x:v>
      </x:c>
      <x:c r="N10" s="2" t="str">
        <x:v>Residual value rolled forward to 2030</x:v>
      </x:c>
      <x:c r="O10" s="2"/>
      <x:c r="P10" s="2"/>
      <x:c r="Q10" s="2"/>
    </x:row>
    <x:row r="11" ht="15" hidden="0" customHeight="1">
      <x:c r="C11" s="2" t="str">
        <x:v>Reported debt</x:v>
      </x:c>
      <x:c r="D11" s="2" t="str">
        <x:v>VND bn</x:v>
      </x:c>
      <x:c r="E11" s="53" t="n">
        <x:f>'Q3 Balance'!E11+'Q3 Balance'!E12</x:f>
        <x:v>19587.852526968</x:v>
      </x:c>
      <x:c r="F11" s="2" t="str">
        <x:v>30-Sep-2025 short- and long-term borrowings</x:v>
      </x:c>
      <x:c r="G11" s="2"/>
      <x:c r="H11" s="2"/>
      <x:c r="I11" s="2"/>
      <x:c r="J11" s="2"/>
      <x:c r="K11" s="2" t="str">
        <x:v>Market-implied terminal growth</x:v>
      </x:c>
      <x:c r="L11" s="2" t="str">
        <x:v>%</x:v>
      </x:c>
      <x:c r="M11" s="49" t="n">
        <x:f>(M10*$E$20-H24)/(M10+H24)</x:f>
        <x:v>0.014097368324585392</x:v>
      </x:c>
      <x:c r="N11" s="2" t="str">
        <x:v>Perpetual growth implied by the market price</x:v>
      </x:c>
      <x:c r="O11" s="2"/>
      <x:c r="P11" s="2"/>
      <x:c r="Q11" s="2"/>
    </x:row>
    <x:row r="12" ht="15" hidden="0" customHeight="1">
      <x:c r="C12" s="2" t="str">
        <x:v>Market price</x:v>
      </x:c>
      <x:c r="D12" s="2" t="str">
        <x:v>VND / share</x:v>
      </x:c>
      <x:c r="E12" s="53" t="n">
        <x:f>'Assumptions'!E70</x:f>
        <x:v>102830</x:v>
      </x:c>
      <x:c r="F12" s="2" t="str">
        <x:v>31-Oct-2025 close</x:v>
      </x:c>
      <x:c r="G12" s="2"/>
      <x:c r="H12" s="2"/>
      <x:c r="I12" s="2"/>
      <x:c r="J12" s="2"/>
      <x:c r="K12" s="2" t="str">
        <x:v>Market price</x:v>
      </x:c>
      <x:c r="L12" s="2" t="str">
        <x:v>VND / share</x:v>
      </x:c>
      <x:c r="M12" s="69" t="n">
        <x:f>E47</x:f>
        <x:v>102830</x:v>
      </x:c>
      <x:c r="N12" s="2" t="str">
        <x:v>Observed at valuation date</x:v>
      </x:c>
      <x:c r="O12" s="2"/>
      <x:c r="P12" s="2"/>
      <x:c r="Q12" s="2"/>
    </x:row>
    <x:row r="13" ht="15" hidden="0" customHeight="1">
      <x:c r="C13" s="2" t="str">
        <x:v>Shares outstanding</x:v>
      </x:c>
      <x:c r="D13" s="2" t="str">
        <x:v>million</x:v>
      </x:c>
      <x:c r="E13" s="53" t="n">
        <x:f>'Q3 Balance'!E14</x:f>
        <x:v>1703.507121</x:v>
      </x:c>
      <x:c r="F13" s="2" t="str">
        <x:v>30-Sep-2025 reported shares</x:v>
      </x:c>
      <x:c r="G13" s="2"/>
      <x:c r="H13" s="2"/>
      <x:c r="I13" s="2"/>
      <x:c r="J13" s="2"/>
      <x:c r="K13" s="2" t="str">
        <x:v>DCF value per share</x:v>
      </x:c>
      <x:c r="L13" s="2" t="str">
        <x:v>VND / share</x:v>
      </x:c>
      <x:c r="M13" s="69" t="n">
        <x:f>E46</x:f>
        <x:v>132526.66913903534</x:v>
      </x:c>
      <x:c r="N13" s="2" t="str">
        <x:v>Base DCF output</x:v>
      </x:c>
      <x:c r="O13" s="2"/>
      <x:c r="P13" s="2"/>
      <x:c r="Q13" s="2"/>
    </x:row>
    <x:row r="14" ht="15" hidden="0" customHeight="1">
      <x:c r="C14" s="2" t="str">
        <x:v>Market capitalisation</x:v>
      </x:c>
      <x:c r="D14" s="2" t="str">
        <x:v>VND bn</x:v>
      </x:c>
      <x:c r="E14" s="53" t="n">
        <x:f>E12*E13/1000</x:f>
        <x:v>175171.63725243002</x:v>
      </x:c>
      <x:c r="F14" s="2" t="str">
        <x:v>Price x shares</x:v>
      </x:c>
      <x:c r="G14" s="2"/>
      <x:c r="H14" s="2"/>
      <x:c r="I14" s="2"/>
      <x:c r="J14" s="2"/>
      <x:c r="K14" s="2"/>
      <x:c r="L14" s="2"/>
      <x:c r="M14" s="2"/>
      <x:c r="N14" s="2"/>
      <x:c r="O14" s="2"/>
      <x:c r="P14" s="2"/>
      <x:c r="Q14" s="2"/>
    </x:row>
    <x:row r="15" ht="15" hidden="0" customHeight="1">
      <x:c r="C15" s="2" t="str">
        <x:v>Equity weight</x:v>
      </x:c>
      <x:c r="D15" s="2" t="str">
        <x:v>%</x:v>
      </x:c>
      <x:c r="E15" s="62" t="n">
        <x:f>E14/(E14+E11)</x:f>
        <x:v>0.8994254269758308</x:v>
      </x:c>
      <x:c r="F15" s="2" t="str">
        <x:v>Market capitalisation / (market capitalisation + debt)</x:v>
      </x:c>
      <x:c r="G15" s="2"/>
      <x:c r="H15" s="2"/>
      <x:c r="I15" s="2"/>
      <x:c r="J15" s="2"/>
      <x:c r="K15" s="2"/>
      <x:c r="L15" s="2"/>
      <x:c r="M15" s="2"/>
      <x:c r="N15" s="2"/>
      <x:c r="O15" s="2"/>
      <x:c r="P15" s="2"/>
      <x:c r="Q15" s="2"/>
    </x:row>
    <x:row r="16" ht="15" hidden="0" customHeight="1">
      <x:c r="C16" s="2" t="str">
        <x:v>Debt weight</x:v>
      </x:c>
      <x:c r="D16" s="2" t="str">
        <x:v>%</x:v>
      </x:c>
      <x:c r="E16" s="62" t="n">
        <x:f>E11/(E14+E11)</x:f>
        <x:v>0.1005745730241692</x:v>
      </x:c>
      <x:c r="F16" s="2" t="str">
        <x:v>Debt / (market capitalisation + debt)</x:v>
      </x:c>
      <x:c r="G16" s="2"/>
      <x:c r="H16" s="2"/>
      <x:c r="I16" s="2"/>
      <x:c r="J16" s="2"/>
      <x:c r="K16" s="35" t="str">
        <x:v>DCF value per share sensitivity (VND)</x:v>
      </x:c>
      <x:c r="L16" s="36" t="str">
        <x:v>DCF value per share sensitivity (VND)</x:v>
      </x:c>
      <x:c r="M16" s="36" t="str">
        <x:v>DCF value per share sensitivity (VND)</x:v>
      </x:c>
      <x:c r="N16" s="36" t="str">
        <x:v>DCF value per share sensitivity (VND)</x:v>
      </x:c>
      <x:c r="O16" s="36" t="str">
        <x:v>DCF value per share sensitivity (VND)</x:v>
      </x:c>
      <x:c r="P16" s="36" t="str">
        <x:v>DCF value per share sensitivity (VND)</x:v>
      </x:c>
      <x:c r="Q16" s="37" t="str">
        <x:v>DCF value per share sensitivity (VND)</x:v>
      </x:c>
    </x:row>
    <x:row r="17" ht="15" hidden="0" customHeight="1">
      <x:c r="C17" s="2" t="str">
        <x:v>Pre-tax cost of debt</x:v>
      </x:c>
      <x:c r="D17" s="2" t="str">
        <x:v>%</x:v>
      </x:c>
      <x:c r="E17" s="62" t="n">
        <x:f>'Assumptions'!E64</x:f>
        <x:v>0.0465</x:v>
      </x:c>
      <x:c r="F17" s="2" t="str">
        <x:v>Annualised observed interest cost</x:v>
      </x:c>
      <x:c r="G17" s="2"/>
      <x:c r="H17" s="2"/>
      <x:c r="I17" s="2"/>
      <x:c r="J17" s="2"/>
      <x:c r="K17" s="21" t="str">
        <x:v>WACC / g</x:v>
      </x:c>
      <x:c r="L17" s="22" t="n">
        <x:v>0.03</x:v>
      </x:c>
      <x:c r="M17" s="22" t="n">
        <x:v>0.035</x:v>
      </x:c>
      <x:c r="N17" s="22" t="n">
        <x:v>0.04</x:v>
      </x:c>
      <x:c r="O17" s="22" t="n">
        <x:v>0.045</x:v>
      </x:c>
      <x:c r="P17" s="22" t="n">
        <x:v>0.05</x:v>
      </x:c>
      <x:c r="Q17" s="23" t="n">
        <x:v>0.055</x:v>
      </x:c>
    </x:row>
    <x:row r="18" ht="15" hidden="0" customHeight="1">
      <x:c r="C18" s="2" t="str">
        <x:v>Normalised tax rate</x:v>
      </x:c>
      <x:c r="D18" s="2" t="str">
        <x:v>%</x:v>
      </x:c>
      <x:c r="E18" s="62" t="n">
        <x:f>'Assumptions'!E65</x:f>
        <x:v>0.15</x:v>
      </x:c>
      <x:c r="F18" s="2" t="str">
        <x:v>Assumptions</x:v>
      </x:c>
      <x:c r="G18" s="2"/>
      <x:c r="H18" s="2"/>
      <x:c r="I18" s="2"/>
      <x:c r="J18" s="2"/>
      <x:c r="K18" s="62" t="n">
        <x:v>0.0875</x:v>
      </x:c>
      <x:c r="L18" s="69" t="n">
        <x:f>(D24/(1+$K18)^D25+E24/(1+$K18)^E25+F24/(1+$K18)^F25+G24/(1+$K18)^G25+H24/(1+$K18)^H25+H24*(1+L$17)/($K18-L$17)/(1+$K18)^5.17+SUM($E$38:$E$43))/$E$45*1000</x:f>
        <x:v>147926.94683912923</x:v>
      </x:c>
      <x:c r="M18" s="69" t="n">
        <x:f>(D24/(1+$K18)^D25+E24/(1+$K18)^E25+F24/(1+$K18)^F25+G24/(1+$K18)^G25+H24/(1+$K18)^H25+H24*(1+M$17)/($K18-M$17)/(1+$K18)^5.17+SUM($E$38:$E$43))/$E$45*1000</x:f>
        <x:v>158957.47969964365</x:v>
      </x:c>
      <x:c r="N18" s="69" t="n">
        <x:f>(D24/(1+$K18)^D25+E24/(1+$K18)^E25+F24/(1+$K18)^F25+G24/(1+$K18)^G25+H24/(1+$K18)^H25+H24*(1+N$17)/($K18-N$17)/(1+$K18)^5.17+SUM($E$38:$E$43))/$E$45*1000</x:f>
        <x:v>172310.23000447688</x:v>
      </x:c>
      <x:c r="O18" s="69" t="n">
        <x:f>(D24/(1+$K18)^D25+E24/(1+$K18)^E25+F24/(1+$K18)^F25+G24/(1+$K18)^G25+H24/(1+$K18)^H25+H24*(1+O$17)/($K18-O$17)/(1+$K18)^5.17+SUM($E$38:$E$43))/$E$45*1000</x:f>
        <x:v>188804.80391044737</x:v>
      </x:c>
      <x:c r="P18" s="69" t="n">
        <x:f>(D24/(1+$K18)^D25+E24/(1+$K18)^E25+F24/(1+$K18)^F25+G24/(1+$K18)^G25+H24/(1+$K18)^H25+H24*(1+P$17)/($K18-P$17)/(1+$K18)^5.17+SUM($E$38:$E$43))/$E$45*1000</x:f>
        <x:v>209697.93085800993</x:v>
      </x:c>
      <x:c r="Q18" s="69" t="n">
        <x:f>(D24/(1+$K18)^D25+E24/(1+$K18)^E25+F24/(1+$K18)^F25+G24/(1+$K18)^G25+H24/(1+$K18)^H25+H24*(1+Q$17)/($K18-Q$17)/(1+$K18)^5.17+SUM($E$38:$E$43))/$E$45*1000</x:f>
        <x:v>237019.71225097642</x:v>
      </x:c>
    </x:row>
    <x:row r="19" ht="15" hidden="0" customHeight="1">
      <x:c r="C19" s="2" t="str">
        <x:v>After-tax cost of debt</x:v>
      </x:c>
      <x:c r="D19" s="2" t="str">
        <x:v>%</x:v>
      </x:c>
      <x:c r="E19" s="62" t="n">
        <x:f>E17*(1-E18)</x:f>
        <x:v>0.039525</x:v>
      </x:c>
      <x:c r="F19" s="2" t="str">
        <x:v>Pre-tax cost of debt x (1 - tax rate)</x:v>
      </x:c>
      <x:c r="G19" s="2"/>
      <x:c r="H19" s="2"/>
      <x:c r="I19" s="2"/>
      <x:c r="J19" s="2"/>
      <x:c r="K19" s="62" t="n">
        <x:v>0.0925</x:v>
      </x:c>
      <x:c r="L19" s="69" t="n">
        <x:f>(D24/(1+$K19)^D25+E24/(1+$K19)^E25+F24/(1+$K19)^F25+G24/(1+$K19)^G25+H24/(1+$K19)^H25+H24*(1+L$17)/($K19-L$17)/(1+$K19)^5.17+SUM($E$38:$E$43))/$E$45*1000</x:f>
        <x:v>136411.81884311515</x:v>
      </x:c>
      <x:c r="M19" s="69" t="n">
        <x:f>(D24/(1+$K19)^D25+E24/(1+$K19)^E25+F24/(1+$K19)^F25+G24/(1+$K19)^G25+H24/(1+$K19)^H25+H24*(1+M$17)/($K19-M$17)/(1+$K19)^5.17+SUM($E$38:$E$43))/$E$45*1000</x:f>
        <x:v>145501.913133862</x:v>
      </x:c>
      <x:c r="N19" s="69" t="n">
        <x:f>(D24/(1+$K19)^D25+E24/(1+$K19)^E25+F24/(1+$K19)^F25+G24/(1+$K19)^G25+H24/(1+$K19)^H25+H24*(1+N$17)/($K19-N$17)/(1+$K19)^5.17+SUM($E$38:$E$43))/$E$45*1000</x:f>
        <x:v>156323.45395617958</x:v>
      </x:c>
      <x:c r="O19" s="69" t="n">
        <x:f>(D24/(1+$K19)^D25+E24/(1+$K19)^E25+F24/(1+$K19)^F25+G24/(1+$K19)^G25+H24/(1+$K19)^H25+H24*(1+O$17)/($K19-O$17)/(1+$K19)^5.17+SUM($E$38:$E$43))/$E$45*1000</x:f>
        <x:v>169423.21389898515</x:v>
      </x:c>
      <x:c r="P19" s="69" t="n">
        <x:f>(D24/(1+$K19)^D25+E24/(1+$K19)^E25+F24/(1+$K19)^F25+G24/(1+$K19)^G25+H24/(1+$K19)^H25+H24*(1+P$17)/($K19-P$17)/(1+$K19)^5.17+SUM($E$38:$E$43))/$E$45*1000</x:f>
        <x:v>185605.27029892144</x:v>
      </x:c>
      <x:c r="Q19" s="69" t="n">
        <x:f>(D24/(1+$K19)^D25+E24/(1+$K19)^E25+F24/(1+$K19)^F25+G24/(1+$K19)^G25+H24/(1+$K19)^H25+H24*(1+Q$17)/($K19-Q$17)/(1+$K19)^5.17+SUM($E$38:$E$43))/$E$45*1000</x:f>
        <x:v>206102.54173884075</x:v>
      </x:c>
    </x:row>
    <x:row r="20" ht="15" hidden="0" customHeight="1">
      <x:c r="C20" s="2" t="str">
        <x:v>WACC</x:v>
      </x:c>
      <x:c r="D20" s="2" t="str">
        <x:v>%</x:v>
      </x:c>
      <x:c r="E20" s="62" t="n">
        <x:f>E15*E10+E16*E19</x:f>
        <x:v>0.10227341491296883</x:v>
      </x:c>
      <x:c r="F20" s="2" t="str">
        <x:v>Equity weight x cost of equity + debt weight x after-tax cost of debt</x:v>
      </x:c>
      <x:c r="G20" s="2"/>
      <x:c r="H20" s="2"/>
      <x:c r="I20" s="2"/>
      <x:c r="J20" s="2"/>
      <x:c r="K20" s="62" t="n">
        <x:v>0.0975</x:v>
      </x:c>
      <x:c r="L20" s="69" t="n">
        <x:f>(D24/(1+$K20)^D25+E24/(1+$K20)^E25+F24/(1+$K20)^F25+G24/(1+$K20)^G25+H24/(1+$K20)^H25+H24*(1+L$17)/($K20-L$17)/(1+$K20)^5.17+SUM($E$38:$E$43))/$E$45*1000</x:f>
        <x:v>126615.75585970604</x:v>
      </x:c>
      <x:c r="M20" s="69" t="n">
        <x:f>(D24/(1+$K20)^D25+E24/(1+$K20)^E25+F24/(1+$K20)^F25+G24/(1+$K20)^G25+H24/(1+$K20)^H25+H24*(1+M$17)/($K20-M$17)/(1+$K20)^5.17+SUM($E$38:$E$43))/$E$45*1000</x:f>
        <x:v>134213.12105311238</x:v>
      </x:c>
      <x:c r="N20" s="69" t="n">
        <x:f>(D24/(1+$K20)^D25+E24/(1+$K20)^E25+F24/(1+$K20)^F25+G24/(1+$K20)^G25+H24/(1+$K20)^H25+H24*(1+N$17)/($K20-N$17)/(1+$K20)^5.17+SUM($E$38:$E$43))/$E$45*1000</x:f>
        <x:v>143131.76714971982</x:v>
      </x:c>
      <x:c r="O20" s="69" t="n">
        <x:f>(D24/(1+$K20)^D25+E24/(1+$K20)^E25+F24/(1+$K20)^F25+G24/(1+$K20)^G25+H24/(1+$K20)^H25+H24*(1+O$17)/($K20-O$17)/(1+$K20)^5.17+SUM($E$38:$E$43))/$E$45*1000</x:f>
        <x:v>153749.2029790144</x:v>
      </x:c>
      <x:c r="P20" s="69" t="n">
        <x:f>(D24/(1+$K20)^D25+E24/(1+$K20)^E25+F24/(1+$K20)^F25+G24/(1+$K20)^G25+H24/(1+$K20)^H25+H24*(1+P$17)/($K20-P$17)/(1+$K20)^5.17+SUM($E$38:$E$43))/$E$45*1000</x:f>
        <x:v>166601.88845658148</x:v>
      </x:c>
      <x:c r="Q20" s="69" t="n">
        <x:f>(D24/(1+$K20)^D25+E24/(1+$K20)^E25+F24/(1+$K20)^F25+G24/(1+$K20)^G25+H24/(1+$K20)^H25+H24*(1+Q$17)/($K20-Q$17)/(1+$K20)^5.17+SUM($E$38:$E$43))/$E$45*1000</x:f>
        <x:v>182478.73522298792</x:v>
      </x:c>
    </x:row>
    <x:row r="21" ht="15" hidden="0" customHeight="1">
      <x:c r="C21" s="2"/>
      <x:c r="D21" s="2"/>
      <x:c r="E21" s="2"/>
      <x:c r="F21" s="2"/>
      <x:c r="G21" s="2"/>
      <x:c r="H21" s="2"/>
      <x:c r="I21" s="2"/>
      <x:c r="J21" s="2"/>
      <x:c r="K21" s="62" t="n">
        <x:v>0.1025</x:v>
      </x:c>
      <x:c r="L21" s="69" t="n">
        <x:f>(D24/(1+$K21)^D25+E24/(1+$K21)^E25+F24/(1+$K21)^F25+G24/(1+$K21)^G25+H24/(1+$K21)^H25+H24*(1+L$17)/($K21-L$17)/(1+$K21)^5.17+SUM($E$38:$E$43))/$E$45*1000</x:f>
        <x:v>118182.62979295033</x:v>
      </x:c>
      <x:c r="M21" s="69" t="n">
        <x:f>(D24/(1+$K21)^D25+E24/(1+$K21)^E25+F24/(1+$K21)^F25+G24/(1+$K21)^G25+H24/(1+$K21)^H25+H24*(1+M$17)/($K21-M$17)/(1+$K21)^5.17+SUM($E$38:$E$43))/$E$45*1000</x:f>
        <x:v>124609.10956447318</x:v>
      </x:c>
      <x:c r="N21" s="69" t="n">
        <x:f>(D24/(1+$K21)^D25+E24/(1+$K21)^E25+F24/(1+$K21)^F25+G24/(1+$K21)^G25+H24/(1+$K21)^H25+H24*(1+N$17)/($K21-N$17)/(1+$K21)^5.17+SUM($E$38:$E$43))/$E$45*1000</x:f>
        <x:v>132063.82609943976</x:v>
      </x:c>
      <x:c r="O21" s="69" t="n">
        <x:f>(D24/(1+$K21)^D25+E24/(1+$K21)^E25+F24/(1+$K21)^F25+G24/(1+$K21)^G25+H24/(1+$K21)^H25+H24*(1+O$17)/($K21-O$17)/(1+$K21)^5.17+SUM($E$38:$E$43))/$E$45*1000</x:f>
        <x:v>140815.01507527003</x:v>
      </x:c>
      <x:c r="P21" s="69" t="n">
        <x:f>(D24/(1+$K21)^D25+E24/(1+$K21)^E25+F24/(1+$K21)^F25+G24/(1+$K21)^G25+H24/(1+$K21)^H25+H24*(1+P$17)/($K21-P$17)/(1+$K21)^5.17+SUM($E$38:$E$43))/$E$45*1000</x:f>
        <x:v>151233.0971893537</x:v>
      </x:c>
      <x:c r="Q21" s="69" t="n">
        <x:f>(D24/(1+$K21)^D25+E24/(1+$K21)^E25+F24/(1+$K21)^F25+G24/(1+$K21)^G25+H24/(1+$K21)^H25+H24*(1+Q$17)/($K21-Q$17)/(1+$K21)^5.17+SUM($E$38:$E$43))/$E$45*1000</x:f>
        <x:v>163844.45974850756</x:v>
      </x:c>
    </x:row>
    <x:row r="22" ht="15" hidden="0" customHeight="1">
      <x:c r="C22" s="2"/>
      <x:c r="D22" s="2"/>
      <x:c r="E22" s="2"/>
      <x:c r="F22" s="2"/>
      <x:c r="G22" s="2"/>
      <x:c r="H22" s="2"/>
      <x:c r="I22" s="2"/>
      <x:c r="J22" s="2"/>
      <x:c r="K22" s="62" t="n">
        <x:v>0.1075</x:v>
      </x:c>
      <x:c r="L22" s="69" t="n">
        <x:f>(D24/(1+$K22)^D25+E24/(1+$K22)^E25+F24/(1+$K22)^F25+G24/(1+$K22)^G25+H24/(1+$K22)^H25+H24*(1+L$17)/($K22-L$17)/(1+$K22)^5.17+SUM($E$38:$E$43))/$E$45*1000</x:f>
        <x:v>110848.23438797158</x:v>
      </x:c>
      <x:c r="M22" s="69" t="n">
        <x:f>(D24/(1+$K22)^D25+E24/(1+$K22)^E25+F24/(1+$K22)^F25+G24/(1+$K22)^G25+H24/(1+$K22)^H25+H24*(1+M$17)/($K22-M$17)/(1+$K22)^5.17+SUM($E$38:$E$43))/$E$45*1000</x:f>
        <x:v>116340.8675534058</x:v>
      </x:c>
      <x:c r="N22" s="69" t="n">
        <x:f>(D24/(1+$K22)^D25+E24/(1+$K22)^E25+F24/(1+$K22)^F25+G24/(1+$K22)^G25+H24/(1+$K22)^H25+H24*(1+N$17)/($K22-N$17)/(1+$K22)^5.17+SUM($E$38:$E$43))/$E$45*1000</x:f>
        <x:v>122647.22415075623</x:v>
      </x:c>
      <x:c r="O22" s="69" t="n">
        <x:f>(D24/(1+$K22)^D25+E24/(1+$K22)^E25+F24/(1+$K22)^F25+G24/(1+$K22)^G25+H24/(1+$K22)^H25+H24*(1+O$17)/($K22-O$17)/(1+$K22)^5.17+SUM($E$38:$E$43))/$E$45*1000</x:f>
        <x:v>129962.59780368274</x:v>
      </x:c>
      <x:c r="P22" s="69" t="n">
        <x:f>(D24/(1+$K22)^D25+E24/(1+$K22)^E25+F24/(1+$K22)^F25+G24/(1+$K22)^G25+H24/(1+$K22)^H25+H24*(1+P$17)/($K22-P$17)/(1+$K22)^5.17+SUM($E$38:$E$43))/$E$45*1000</x:f>
        <x:v>138550.21035277037</x:v>
      </x:c>
      <x:c r="Q22" s="69" t="n">
        <x:f>(D24/(1+$K22)^D25+E24/(1+$K22)^E25+F24/(1+$K22)^F25+G24/(1+$K22)^G25+H24/(1+$K22)^H25+H24*(1+Q$17)/($K22-Q$17)/(1+$K22)^5.17+SUM($E$38:$E$43))/$E$45*1000</x:f>
        <x:v>148773.55862549366</x:v>
      </x:c>
    </x:row>
    <x:row r="23" ht="15" hidden="0" customHeight="1">
      <x:c r="C23" s="21" t="str">
        <x:v>DCF schedule</x:v>
      </x:c>
      <x:c r="D23" s="22" t="str">
        <x:v>2026E</x:v>
      </x:c>
      <x:c r="E23" s="22" t="str">
        <x:v>2027E</x:v>
      </x:c>
      <x:c r="F23" s="22" t="str">
        <x:v>2028E</x:v>
      </x:c>
      <x:c r="G23" s="22" t="str">
        <x:v>2029E</x:v>
      </x:c>
      <x:c r="H23" s="23" t="str">
        <x:v>2030E</x:v>
      </x:c>
      <x:c r="I23" s="2"/>
      <x:c r="J23" s="2"/>
      <x:c r="K23" s="62" t="n">
        <x:v>0.1125</x:v>
      </x:c>
      <x:c r="L23" s="69" t="n">
        <x:f>(D24/(1+$K23)^D25+E24/(1+$K23)^E25+F24/(1+$K23)^F25+G24/(1+$K23)^G25+H24/(1+$K23)^H25+H24*(1+L$17)/($K23-L$17)/(1+$K23)^5.17+SUM($E$38:$E$43))/$E$45*1000</x:f>
        <x:v>104412.4293700185</x:v>
      </x:c>
      <x:c r="M23" s="69" t="n">
        <x:f>(D24/(1+$K23)^D25+E24/(1+$K23)^E25+F24/(1+$K23)^F25+G24/(1+$K23)^G25+H24/(1+$K23)^H25+H24*(1+M$17)/($K23-M$17)/(1+$K23)^5.17+SUM($E$38:$E$43))/$E$45*1000</x:f>
        <x:v>109149.46820872009</x:v>
      </x:c>
      <x:c r="N23" s="69" t="n">
        <x:f>(D24/(1+$K23)^D25+E24/(1+$K23)^E25+F24/(1+$K23)^F25+G24/(1+$K23)^G25+H24/(1+$K23)^H25+H24*(1+N$17)/($K23-N$17)/(1+$K23)^5.17+SUM($E$38:$E$43))/$E$45*1000</x:f>
        <x:v>114539.8917148288</x:v>
      </x:c>
      <x:c r="O23" s="69" t="n">
        <x:f>(D24/(1+$K23)^D25+E24/(1+$K23)^E25+F24/(1+$K23)^F25+G24/(1+$K23)^G25+H24/(1+$K23)^H25+H24*(1+O$17)/($K23-O$17)/(1+$K23)^5.17+SUM($E$38:$E$43))/$E$45*1000</x:f>
        <x:v>120728.89648110181</x:v>
      </x:c>
      <x:c r="P23" s="69" t="n">
        <x:f>(D24/(1+$K23)^D25+E24/(1+$K23)^E25+F24/(1+$K23)^F25+G24/(1+$K23)^G25+H24/(1+$K23)^H25+H24*(1+P$17)/($K23-P$17)/(1+$K23)^5.17+SUM($E$38:$E$43))/$E$45*1000</x:f>
        <x:v>127908.14200997844</x:v>
      </x:c>
      <x:c r="Q23" s="69" t="n">
        <x:f>(D24/(1+$K23)^D25+E24/(1+$K23)^E25+F24/(1+$K23)^F25+G24/(1+$K23)^G25+H24/(1+$K23)^H25+H24*(1+Q$17)/($K23-Q$17)/(1+$K23)^5.17+SUM($E$38:$E$43))/$E$45*1000</x:f>
        <x:v>136335.95197865972</x:v>
      </x:c>
    </x:row>
    <x:row r="24" ht="15" hidden="0" customHeight="1">
      <x:c r="C24" s="2" t="str">
        <x:v>FCFF</x:v>
      </x:c>
      <x:c r="D24" s="57" t="n">
        <x:f>'FCFF Build'!K28</x:f>
        <x:v>9659.043889280269</x:v>
      </x:c>
      <x:c r="E24" s="57" t="n">
        <x:f>'FCFF Build'!L28</x:f>
        <x:v>11251.033940666077</x:v>
      </x:c>
      <x:c r="F24" s="57" t="n">
        <x:f>'FCFF Build'!M28</x:f>
        <x:v>12860.311825504818</x:v>
      </x:c>
      <x:c r="G24" s="57" t="n">
        <x:f>'FCFF Build'!N28</x:f>
        <x:v>14586.667857646362</x:v>
      </x:c>
      <x:c r="H24" s="57" t="n">
        <x:f>'FCFF Build'!O28</x:f>
        <x:v>16095.616932680354</x:v>
      </x:c>
      <x:c r="I24" s="2"/>
      <x:c r="J24" s="2"/>
      <x:c r="K24" s="62" t="n">
        <x:v>0.1175</x:v>
      </x:c>
      <x:c r="L24" s="69" t="n">
        <x:f>(D24/(1+$K24)^D25+E24/(1+$K24)^E25+F24/(1+$K24)^F25+G24/(1+$K24)^G25+H24/(1+$K24)^H25+H24*(1+L$17)/($K24-L$17)/(1+$K24)^5.17+SUM($E$38:$E$43))/$E$45*1000</x:f>
        <x:v>98720.83519946453</x:v>
      </x:c>
      <x:c r="M24" s="69" t="n">
        <x:f>(D24/(1+$K24)^D25+E24/(1+$K24)^E25+F24/(1+$K24)^F25+G24/(1+$K24)^G25+H24/(1+$K24)^H25+H24*(1+M$17)/($K24-M$17)/(1+$K24)^5.17+SUM($E$38:$E$43))/$E$45*1000</x:f>
        <x:v>102838.77003016321</x:v>
      </x:c>
      <x:c r="N24" s="69" t="n">
        <x:f>(D24/(1+$K24)^D25+E24/(1+$K24)^E25+F24/(1+$K24)^F25+G24/(1+$K24)^G25+H24/(1+$K24)^H25+H24*(1+N$17)/($K24-N$17)/(1+$K24)^5.17+SUM($E$38:$E$43))/$E$45*1000</x:f>
        <x:v>107488.05129062948</x:v>
      </x:c>
      <x:c r="O24" s="69" t="n">
        <x:f>(D24/(1+$K24)^D25+E24/(1+$K24)^E25+F24/(1+$K24)^F25+G24/(1+$K24)^G25+H24/(1+$K24)^H25+H24*(1+O$17)/($K24-O$17)/(1+$K24)^5.17+SUM($E$38:$E$43))/$E$45*1000</x:f>
        <x:v>112778.61272495314</x:v>
      </x:c>
      <x:c r="P24" s="69" t="n">
        <x:f>(D24/(1+$K24)^D25+E24/(1+$K24)^E25+F24/(1+$K24)^F25+G24/(1+$K24)^G25+H24/(1+$K24)^H25+H24*(1+P$17)/($K24-P$17)/(1+$K24)^5.17+SUM($E$38:$E$43))/$E$45*1000</x:f>
        <x:v>118852.96103843591</x:v>
      </x:c>
      <x:c r="Q24" s="69" t="n">
        <x:f>(D24/(1+$K24)^D25+E24/(1+$K24)^E25+F24/(1+$K24)^F25+G24/(1+$K24)^G25+H24/(1+$K24)^H25+H24*(1+Q$17)/($K24-Q$17)/(1+$K24)^5.17+SUM($E$38:$E$43))/$E$45*1000</x:f>
        <x:v>125899.2050820759</x:v>
      </x:c>
    </x:row>
    <x:row r="25" ht="15" hidden="0" customHeight="1">
      <x:c r="C25" s="2" t="str">
        <x:v>Discount timing (years)</x:v>
      </x:c>
      <x:c r="D25" s="67" t="n">
        <x:v>0.67</x:v>
      </x:c>
      <x:c r="E25" s="67" t="n">
        <x:v>1.67</x:v>
      </x:c>
      <x:c r="F25" s="67" t="n">
        <x:v>2.67</x:v>
      </x:c>
      <x:c r="G25" s="67" t="n">
        <x:v>3.67</x:v>
      </x:c>
      <x:c r="H25" s="67" t="n">
        <x:v>4.67</x:v>
      </x:c>
      <x:c r="I25" s="2"/>
      <x:c r="J25" s="2"/>
      <x:c r="K25" s="2"/>
      <x:c r="L25" s="2"/>
      <x:c r="M25" s="2"/>
      <x:c r="N25" s="2"/>
      <x:c r="O25" s="2"/>
      <x:c r="P25" s="2"/>
      <x:c r="Q25" s="2"/>
    </x:row>
    <x:row r="26" ht="15" hidden="0" customHeight="1">
      <x:c r="C26" s="2" t="str">
        <x:v>Discount factor</x:v>
      </x:c>
      <x:c r="D26" s="68" t="n">
        <x:f>1/(1+$E$20)^D25</x:f>
        <x:v>0.9368415562736778</x:v>
      </x:c>
      <x:c r="E26" s="68" t="n">
        <x:f>1/(1+$E$20)^E25</x:f>
        <x:v>0.8499175826967097</x:v>
      </x:c>
      <x:c r="F26" s="68" t="n">
        <x:f>1/(1+$E$20)^F25</x:f>
        <x:v>0.7710587692653512</x:v>
      </x:c>
      <x:c r="G26" s="68" t="n">
        <x:f>1/(1+$E$20)^G25</x:f>
        <x:v>0.6995167975871313</x:v>
      </x:c>
      <x:c r="H26" s="68" t="n">
        <x:f>1/(1+$E$20)^H25</x:f>
        <x:v>0.6346127812965192</x:v>
      </x:c>
      <x:c r="I26" s="2"/>
      <x:c r="J26" s="2"/>
      <x:c r="K26" s="2"/>
      <x:c r="L26" s="2"/>
      <x:c r="M26" s="2"/>
      <x:c r="N26" s="2"/>
      <x:c r="O26" s="2"/>
      <x:c r="P26" s="2"/>
      <x:c r="Q26" s="2"/>
    </x:row>
    <x:row r="27" ht="15" hidden="0" customHeight="1">
      <x:c r="C27" s="2" t="str">
        <x:v>Present value of FCFF</x:v>
      </x:c>
      <x:c r="D27" s="53" t="n">
        <x:f>D24*D26</x:f>
        <x:v>9048.993709349084</x:v>
      </x:c>
      <x:c r="E27" s="53" t="n">
        <x:f>E24*E26</x:f>
        <x:v>9562.451569689549</x:v>
      </x:c>
      <x:c r="F27" s="53" t="n">
        <x:f>F24*F26</x:f>
        <x:v>9916.056208542386</x:v>
      </x:c>
      <x:c r="G27" s="53" t="n">
        <x:f>G24*G26</x:f>
        <x:v>10203.619187247923</x:v>
      </x:c>
      <x:c r="H27" s="53" t="n">
        <x:f>H24*H26</x:f>
        <x:v>10214.484228331628</x:v>
      </x:c>
      <x:c r="I27" s="2"/>
      <x:c r="J27" s="2"/>
      <x:c r="K27" s="21" t="str">
        <x:v>Diagnostic</x:v>
      </x:c>
      <x:c r="L27" s="22" t="str">
        <x:v>Unit</x:v>
      </x:c>
      <x:c r="M27" s="22" t="str">
        <x:v>Value</x:v>
      </x:c>
      <x:c r="N27" s="23" t="str">
        <x:v>Comment</x:v>
      </x:c>
      <x:c r="O27" s="2"/>
      <x:c r="P27" s="2"/>
      <x:c r="Q27" s="2"/>
    </x:row>
    <x:row r="28" ht="15" hidden="0" customHeight="1">
      <x:c r="C28" s="2"/>
      <x:c r="D28" s="2"/>
      <x:c r="E28" s="2"/>
      <x:c r="F28" s="2"/>
      <x:c r="G28" s="2"/>
      <x:c r="H28" s="2"/>
      <x:c r="I28" s="2"/>
      <x:c r="J28" s="2"/>
      <x:c r="K28" s="2" t="str">
        <x:v>Terminal value / enterprise value</x:v>
      </x:c>
      <x:c r="L28" s="2" t="str">
        <x:v>%</x:v>
      </x:c>
      <x:c r="M28" s="49" t="n">
        <x:f>E32/E34</x:f>
        <x:v>0.7684983025557585</x:v>
      </x:c>
      <x:c r="N28" s="2" t="str">
        <x:v>High ratios require close review of WACC and terminal growth</x:v>
      </x:c>
      <x:c r="O28" s="2"/>
      <x:c r="P28" s="2"/>
      <x:c r="Q28" s="2"/>
    </x:row>
    <x:row r="29" ht="15" hidden="0" customHeight="1">
      <x:c r="C29" s="21" t="str">
        <x:v>Terminal value and enterprise value</x:v>
      </x:c>
      <x:c r="D29" s="22" t="str">
        <x:v>Unit</x:v>
      </x:c>
      <x:c r="E29" s="23" t="str">
        <x:v>Value</x:v>
      </x:c>
      <x:c r="F29" s="2"/>
      <x:c r="G29" s="2"/>
      <x:c r="H29" s="2"/>
      <x:c r="I29" s="2"/>
      <x:c r="J29" s="2"/>
      <x:c r="K29" s="2" t="str">
        <x:v>Explicit forecast horizon</x:v>
      </x:c>
      <x:c r="L29" s="2" t="str">
        <x:v>years</x:v>
      </x:c>
      <x:c r="M29" s="2" t="n">
        <x:f>5</x:f>
        <x:v>5</x:v>
      </x:c>
      <x:c r="N29" s="2" t="str">
        <x:v>FY2026-FY2030</x:v>
      </x:c>
      <x:c r="O29" s="2"/>
      <x:c r="P29" s="2"/>
      <x:c r="Q29" s="2"/>
    </x:row>
    <x:row r="30" ht="15" hidden="0" customHeight="1">
      <x:c r="C30" s="2" t="str">
        <x:v>Terminal growth rate</x:v>
      </x:c>
      <x:c r="D30" s="2" t="str">
        <x:v>%</x:v>
      </x:c>
      <x:c r="E30" s="49" t="n">
        <x:f>'Assumptions'!E66</x:f>
        <x:v>0.04</x:v>
      </x:c>
      <x:c r="F30" s="2"/>
      <x:c r="G30" s="2"/>
      <x:c r="H30" s="2"/>
      <x:c r="I30" s="2"/>
      <x:c r="J30" s="2"/>
      <x:c r="K30" s="2" t="str">
        <x:v>Forecast starts</x:v>
      </x:c>
      <x:c r="L30" s="2" t="str">
        <x:v>Year</x:v>
      </x:c>
      <x:c r="M30" s="2" t="n">
        <x:f>2026</x:f>
        <x:v>2026</x:v>
      </x:c>
      <x:c r="N30" s="2" t="str">
        <x:v>FY2025 is retained as an operating anchor only</x:v>
      </x:c>
      <x:c r="O30" s="2"/>
      <x:c r="P30" s="2"/>
      <x:c r="Q30" s="2"/>
    </x:row>
    <x:row r="31" ht="15" hidden="0" customHeight="1">
      <x:c r="C31" s="2" t="str">
        <x:v>Terminal value at 31-Dec-2030</x:v>
      </x:c>
      <x:c r="D31" s="2" t="str">
        <x:v>VND bn</x:v>
      </x:c>
      <x:c r="E31" s="53" t="n">
        <x:f>H24*(1+E30)/($E$20-E30)</x:f>
        <x:v>268805.58314301586</x:v>
      </x:c>
      <x:c r="F31" s="2"/>
      <x:c r="G31" s="2"/>
      <x:c r="H31" s="2"/>
      <x:c r="I31" s="2"/>
      <x:c r="J31" s="2"/>
      <x:c r="K31" s="2"/>
      <x:c r="L31" s="2"/>
      <x:c r="M31" s="2"/>
      <x:c r="N31" s="2"/>
      <x:c r="O31" s="2"/>
      <x:c r="P31" s="2"/>
      <x:c r="Q31" s="2"/>
    </x:row>
    <x:row r="32" ht="15" hidden="0" customHeight="1">
      <x:c r="C32" s="2" t="str">
        <x:v>Present value of terminal value</x:v>
      </x:c>
      <x:c r="D32" s="2" t="str">
        <x:v>VND bn</x:v>
      </x:c>
      <x:c r="E32" s="53" t="n">
        <x:f>E31/(1+$E$20)^5.17</x:f>
        <x:v>162480.94377236004</x:v>
      </x:c>
      <x:c r="F32" s="2"/>
      <x:c r="G32" s="2"/>
      <x:c r="H32" s="2"/>
      <x:c r="I32" s="2"/>
      <x:c r="J32" s="2"/>
      <x:c r="K32" s="2"/>
      <x:c r="L32" s="2"/>
      <x:c r="M32" s="2"/>
      <x:c r="N32" s="2"/>
      <x:c r="O32" s="2"/>
      <x:c r="P32" s="2"/>
      <x:c r="Q32" s="2"/>
    </x:row>
    <x:row r="33" ht="15" hidden="0" customHeight="1">
      <x:c r="C33" s="2" t="str">
        <x:v>Present value of explicit FCFF</x:v>
      </x:c>
      <x:c r="D33" s="2" t="str">
        <x:v>VND bn</x:v>
      </x:c>
      <x:c r="E33" s="53" t="n">
        <x:f>SUM(D27:H27)</x:f>
        <x:v>48945.60490316058</x:v>
      </x:c>
      <x:c r="F33" s="2"/>
      <x:c r="G33" s="2"/>
      <x:c r="H33" s="2"/>
      <x:c r="I33" s="2"/>
      <x:c r="J33" s="2"/>
      <x:c r="K33" s="2"/>
      <x:c r="L33" s="2"/>
      <x:c r="M33" s="2"/>
      <x:c r="N33" s="2"/>
      <x:c r="O33" s="2"/>
      <x:c r="P33" s="2"/>
      <x:c r="Q33" s="2"/>
    </x:row>
    <x:row r="34" ht="15" hidden="0" customHeight="1">
      <x:c r="C34" s="58" t="str">
        <x:v>Enterprise value</x:v>
      </x:c>
      <x:c r="D34" s="58" t="str">
        <x:v>VND bn</x:v>
      </x:c>
      <x:c r="E34" s="59" t="n">
        <x:f>E32+E33</x:f>
        <x:v>211426.54867552064</x:v>
      </x:c>
      <x:c r="F34" s="2"/>
      <x:c r="G34" s="2"/>
      <x:c r="H34" s="2"/>
      <x:c r="I34" s="2"/>
      <x:c r="J34" s="2"/>
      <x:c r="K34" s="2"/>
      <x:c r="L34" s="2"/>
      <x:c r="M34" s="2"/>
      <x:c r="N34" s="2"/>
      <x:c r="O34" s="2"/>
      <x:c r="P34" s="2"/>
      <x:c r="Q34" s="2"/>
    </x:row>
    <x:row r="35" ht="15" hidden="0" customHeight="1">
      <x:c r="C35" s="2"/>
      <x:c r="D35" s="2"/>
      <x:c r="E35" s="2"/>
      <x:c r="F35" s="2"/>
      <x:c r="G35" s="2"/>
      <x:c r="H35" s="2"/>
      <x:c r="I35" s="2"/>
      <x:c r="J35" s="2"/>
      <x:c r="K35" s="2"/>
      <x:c r="L35" s="2"/>
      <x:c r="M35" s="2"/>
      <x:c r="N35" s="2"/>
      <x:c r="O35" s="2"/>
      <x:c r="P35" s="2"/>
      <x:c r="Q35" s="2"/>
    </x:row>
    <x:row r="36" ht="15" hidden="0" customHeight="1">
      <x:c r="C36" s="21" t="str">
        <x:v>Enterprise-to-equity bridge</x:v>
      </x:c>
      <x:c r="D36" s="22" t="str">
        <x:v>Unit</x:v>
      </x:c>
      <x:c r="E36" s="23" t="str">
        <x:v>Value</x:v>
      </x:c>
      <x:c r="F36" s="2"/>
      <x:c r="G36" s="2"/>
      <x:c r="H36" s="2"/>
      <x:c r="I36" s="2"/>
      <x:c r="J36" s="2"/>
      <x:c r="K36" s="2"/>
      <x:c r="L36" s="2"/>
      <x:c r="M36" s="2"/>
      <x:c r="N36" s="2"/>
      <x:c r="O36" s="2"/>
      <x:c r="P36" s="2"/>
      <x:c r="Q36" s="2"/>
    </x:row>
    <x:row r="37" ht="15" hidden="0" customHeight="1">
      <x:c r="C37" s="2" t="str">
        <x:v>Enterprise value</x:v>
      </x:c>
      <x:c r="D37" s="2" t="str">
        <x:v>VND bn</x:v>
      </x:c>
      <x:c r="E37" s="53" t="n">
        <x:f>E34</x:f>
        <x:v>211426.54867552064</x:v>
      </x:c>
      <x:c r="F37" s="2"/>
      <x:c r="G37" s="2"/>
      <x:c r="H37" s="2"/>
      <x:c r="I37" s="2"/>
      <x:c r="J37" s="2"/>
      <x:c r="K37" s="2"/>
      <x:c r="L37" s="2"/>
      <x:c r="M37" s="2"/>
      <x:c r="N37" s="2"/>
      <x:c r="O37" s="2"/>
      <x:c r="P37" s="2"/>
      <x:c r="Q37" s="2"/>
    </x:row>
    <x:row r="38" ht="15" hidden="0" customHeight="1">
      <x:c r="C38" s="2" t="str">
        <x:v>Add: cash and cash equivalents</x:v>
      </x:c>
      <x:c r="D38" s="2" t="str">
        <x:v>VND bn</x:v>
      </x:c>
      <x:c r="E38" s="53" t="n">
        <x:f>'Q3 Balance'!E6*'Assumptions'!E67</x:f>
        <x:v>9853.51273137</x:v>
      </x:c>
      <x:c r="F38" s="2"/>
      <x:c r="G38" s="2"/>
      <x:c r="H38" s="2"/>
      <x:c r="I38" s="2"/>
      <x:c r="J38" s="2"/>
      <x:c r="K38" s="2"/>
      <x:c r="L38" s="2"/>
      <x:c r="M38" s="2"/>
      <x:c r="N38" s="2"/>
      <x:c r="O38" s="2"/>
      <x:c r="P38" s="2"/>
      <x:c r="Q38" s="2"/>
    </x:row>
    <x:row r="39" ht="15" hidden="0" customHeight="1">
      <x:c r="C39" s="2" t="str">
        <x:v>Add: short-term investments</x:v>
      </x:c>
      <x:c r="D39" s="2" t="str">
        <x:v>VND bn</x:v>
      </x:c>
      <x:c r="E39" s="53" t="n">
        <x:f>'Q3 Balance'!E7*'Assumptions'!E68</x:f>
        <x:v>27125.585559832</x:v>
      </x:c>
      <x:c r="F39" s="2"/>
      <x:c r="G39" s="2"/>
      <x:c r="H39" s="2"/>
      <x:c r="I39" s="2"/>
      <x:c r="J39" s="2"/>
      <x:c r="K39" s="2"/>
      <x:c r="L39" s="2"/>
      <x:c r="M39" s="2"/>
      <x:c r="N39" s="2"/>
      <x:c r="O39" s="2"/>
      <x:c r="P39" s="2"/>
      <x:c r="Q39" s="2"/>
    </x:row>
    <x:row r="40" ht="15" hidden="0" customHeight="1">
      <x:c r="C40" s="2" t="str">
        <x:v>Add: associates and joint ventures</x:v>
      </x:c>
      <x:c r="D40" s="2" t="str">
        <x:v>VND bn</x:v>
      </x:c>
      <x:c r="E40" s="53" t="n">
        <x:f>'Q3 Balance'!E8*'Assumptions'!E69</x:f>
        <x:v>2925.769962921</x:v>
      </x:c>
      <x:c r="F40" s="2"/>
      <x:c r="G40" s="2"/>
      <x:c r="H40" s="2"/>
      <x:c r="I40" s="2"/>
      <x:c r="J40" s="2"/>
      <x:c r="K40" s="2"/>
      <x:c r="L40" s="2"/>
      <x:c r="M40" s="2"/>
      <x:c r="N40" s="2"/>
      <x:c r="O40" s="2"/>
      <x:c r="P40" s="2"/>
      <x:c r="Q40" s="2"/>
    </x:row>
    <x:row r="41" ht="15" hidden="0" customHeight="1">
      <x:c r="C41" s="2" t="str">
        <x:v>Add: net other financial investments</x:v>
      </x:c>
      <x:c r="D41" s="2" t="str">
        <x:v>VND bn</x:v>
      </x:c>
      <x:c r="E41" s="53" t="n">
        <x:f>('Q3 Balance'!E9+'Q3 Balance'!E10)*'Assumptions'!E69</x:f>
        <x:v>1056.2124131169999</x:v>
      </x:c>
      <x:c r="F41" s="2"/>
      <x:c r="G41" s="2"/>
      <x:c r="H41" s="2"/>
      <x:c r="I41" s="2"/>
      <x:c r="J41" s="2"/>
      <x:c r="K41" s="2"/>
      <x:c r="L41" s="2"/>
      <x:c r="M41" s="2"/>
      <x:c r="N41" s="2"/>
      <x:c r="O41" s="2"/>
      <x:c r="P41" s="2"/>
      <x:c r="Q41" s="2"/>
    </x:row>
    <x:row r="42" ht="15" hidden="0" customHeight="1">
      <x:c r="C42" s="2" t="str">
        <x:v>Less: reported debt</x:v>
      </x:c>
      <x:c r="D42" s="2" t="str">
        <x:v>VND bn</x:v>
      </x:c>
      <x:c r="E42" s="53" t="n">
        <x:f>-E11</x:f>
        <x:v>-19587.852526968</x:v>
      </x:c>
      <x:c r="F42" s="2"/>
      <x:c r="G42" s="2"/>
      <x:c r="H42" s="2"/>
      <x:c r="I42" s="2"/>
      <x:c r="J42" s="2"/>
      <x:c r="K42" s="2"/>
      <x:c r="L42" s="2"/>
      <x:c r="M42" s="2"/>
      <x:c r="N42" s="2"/>
      <x:c r="O42" s="2"/>
      <x:c r="P42" s="2"/>
      <x:c r="Q42" s="2"/>
    </x:row>
    <x:row r="43" ht="15" hidden="0" customHeight="1">
      <x:c r="C43" s="2" t="str">
        <x:v>Less: non-controlling interests</x:v>
      </x:c>
      <x:c r="D43" s="2" t="str">
        <x:v>VND bn</x:v>
      </x:c>
      <x:c r="E43" s="53" t="n">
        <x:f>-'Q3 Balance'!E13</x:f>
        <x:v>-7039.652215035</x:v>
      </x:c>
      <x:c r="F43" s="2"/>
      <x:c r="G43" s="2"/>
      <x:c r="H43" s="2"/>
      <x:c r="I43" s="2"/>
      <x:c r="J43" s="2"/>
      <x:c r="K43" s="2"/>
      <x:c r="L43" s="2"/>
      <x:c r="M43" s="2"/>
      <x:c r="N43" s="2"/>
      <x:c r="O43" s="2"/>
      <x:c r="P43" s="2"/>
      <x:c r="Q43" s="2"/>
    </x:row>
    <x:row r="44" ht="15" hidden="0" customHeight="1">
      <x:c r="C44" s="58" t="str">
        <x:v>Equity value</x:v>
      </x:c>
      <x:c r="D44" s="58" t="str">
        <x:v>VND bn</x:v>
      </x:c>
      <x:c r="E44" s="59" t="n">
        <x:f>SUM(E37:E43)</x:f>
        <x:v>225760.12460075764</x:v>
      </x:c>
      <x:c r="F44" s="2"/>
      <x:c r="G44" s="2"/>
      <x:c r="H44" s="2"/>
      <x:c r="I44" s="2"/>
      <x:c r="J44" s="2"/>
      <x:c r="K44" s="2"/>
      <x:c r="L44" s="2"/>
      <x:c r="M44" s="2"/>
      <x:c r="N44" s="2"/>
      <x:c r="O44" s="2"/>
      <x:c r="P44" s="2"/>
      <x:c r="Q44" s="2"/>
    </x:row>
    <x:row r="45" ht="15" hidden="0" customHeight="1">
      <x:c r="C45" s="2" t="str">
        <x:v>Shares outstanding</x:v>
      </x:c>
      <x:c r="D45" s="2" t="str">
        <x:v>million</x:v>
      </x:c>
      <x:c r="E45" s="53" t="n">
        <x:f>E13</x:f>
        <x:v>1703.507121</x:v>
      </x:c>
      <x:c r="F45" s="2"/>
      <x:c r="G45" s="2"/>
      <x:c r="H45" s="2"/>
      <x:c r="I45" s="2"/>
      <x:c r="J45" s="2"/>
      <x:c r="K45" s="2"/>
      <x:c r="L45" s="2"/>
      <x:c r="M45" s="2"/>
      <x:c r="N45" s="2"/>
      <x:c r="O45" s="2"/>
      <x:c r="P45" s="2"/>
      <x:c r="Q45" s="2"/>
    </x:row>
    <x:row r="46" ht="15" hidden="0" customHeight="1">
      <x:c r="C46" s="70" t="str">
        <x:v>DCF value per share</x:v>
      </x:c>
      <x:c r="D46" s="70" t="str">
        <x:v>VND / share</x:v>
      </x:c>
      <x:c r="E46" s="71" t="n">
        <x:f>E44/E45*1000</x:f>
        <x:v>132526.66913903534</x:v>
      </x:c>
      <x:c r="F46" s="2"/>
      <x:c r="G46" s="2"/>
      <x:c r="H46" s="2"/>
      <x:c r="I46" s="2"/>
      <x:c r="J46" s="2"/>
      <x:c r="K46" s="2"/>
      <x:c r="L46" s="2"/>
      <x:c r="M46" s="2"/>
      <x:c r="N46" s="2"/>
      <x:c r="O46" s="2"/>
      <x:c r="P46" s="2"/>
      <x:c r="Q46" s="2"/>
    </x:row>
    <x:row r="47" ht="15" hidden="0" customHeight="1">
      <x:c r="C47" s="70" t="str">
        <x:v>Market price</x:v>
      </x:c>
      <x:c r="D47" s="70" t="str">
        <x:v>VND / share</x:v>
      </x:c>
      <x:c r="E47" s="71" t="n">
        <x:f>E12</x:f>
        <x:v>102830</x:v>
      </x:c>
      <x:c r="F47" s="2"/>
      <x:c r="G47" s="2"/>
      <x:c r="H47" s="2"/>
      <x:c r="I47" s="2"/>
      <x:c r="J47" s="2"/>
      <x:c r="K47" s="2"/>
      <x:c r="L47" s="2"/>
      <x:c r="M47" s="2"/>
      <x:c r="N47" s="2"/>
      <x:c r="O47" s="2"/>
      <x:c r="P47" s="2"/>
      <x:c r="Q47" s="2"/>
    </x:row>
    <x:row r="48" ht="15" hidden="0" customHeight="1">
      <x:c r="C48" s="70" t="str">
        <x:v>DCF price gap</x:v>
      </x:c>
      <x:c r="D48" s="70" t="str">
        <x:v>%</x:v>
      </x:c>
      <x:c r="E48" s="72" t="n">
        <x:f>E46/E47-1</x:f>
        <x:v>0.2887938261114007</x:v>
      </x:c>
      <x:c r="F48" s="2"/>
      <x:c r="G48" s="2"/>
      <x:c r="H48" s="2"/>
      <x:c r="I48" s="2"/>
      <x:c r="J48" s="2"/>
      <x:c r="K48" s="2"/>
      <x:c r="L48" s="2"/>
      <x:c r="M48" s="2"/>
      <x:c r="N48" s="2"/>
      <x:c r="O48" s="2"/>
      <x:c r="P48" s="2"/>
      <x:c r="Q48" s="2"/>
    </x:row>
    <x:row r="49" ht="15" hidden="0" customHeight="1">
      <x:c r="C49" s="2"/>
      <x:c r="D49" s="2"/>
      <x:c r="E49" s="2"/>
      <x:c r="F49" s="2"/>
      <x:c r="G49" s="2"/>
      <x:c r="H49" s="2"/>
      <x:c r="I49" s="2"/>
      <x:c r="J49" s="2"/>
      <x:c r="K49" s="2"/>
      <x:c r="L49" s="2"/>
      <x:c r="M49" s="2"/>
      <x:c r="N49" s="2"/>
      <x:c r="O49" s="2"/>
      <x:c r="P49" s="2"/>
      <x:c r="Q49" s="2"/>
    </x:row>
    <x:row r="50" ht="15" hidden="0" customHeight="1">
      <x:c r="C50" s="2"/>
      <x:c r="D50" s="2"/>
      <x:c r="E50" s="2"/>
      <x:c r="F50" s="2"/>
      <x:c r="G50" s="2"/>
      <x:c r="H50" s="2"/>
      <x:c r="I50" s="2"/>
      <x:c r="J50" s="2"/>
      <x:c r="K50" s="2"/>
      <x:c r="L50" s="2"/>
      <x:c r="M50" s="2"/>
      <x:c r="N50" s="2"/>
      <x:c r="O50" s="2"/>
      <x:c r="P50" s="2"/>
      <x:c r="Q50" s="2"/>
    </x:row>
    <x:row r="51" ht="15" hidden="0" customHeight="1">
      <x:c r="C51" s="2"/>
      <x:c r="D51" s="2"/>
      <x:c r="E51" s="2"/>
      <x:c r="F51" s="2"/>
      <x:c r="G51" s="2"/>
      <x:c r="H51" s="2"/>
      <x:c r="I51" s="2"/>
      <x:c r="J51" s="2"/>
      <x:c r="K51" s="2"/>
      <x:c r="L51" s="2"/>
      <x:c r="M51" s="2"/>
      <x:c r="N51" s="2"/>
      <x:c r="O51" s="2"/>
      <x:c r="P51" s="2"/>
      <x:c r="Q51" s="2"/>
    </x:row>
    <x:row r="52" ht="15" hidden="0" customHeight="1">
      <x:c r="C52" s="2"/>
      <x:c r="D52" s="2"/>
      <x:c r="E52" s="2"/>
      <x:c r="F52" s="2"/>
      <x:c r="G52" s="2"/>
      <x:c r="H52" s="2"/>
      <x:c r="I52" s="2"/>
      <x:c r="J52" s="2"/>
      <x:c r="K52" s="2"/>
      <x:c r="L52" s="2"/>
      <x:c r="M52" s="2"/>
      <x:c r="N52" s="2"/>
      <x:c r="O52" s="2"/>
      <x:c r="P52" s="2"/>
      <x:c r="Q52" s="2"/>
    </x:row>
    <x:row r="53"/>
    <x:row r="54"/>
    <x:row r="55"/>
    <x:row r="56"/>
    <x:row r="57"/>
    <x:row r="58"/>
    <x:row r="59"/>
    <x:row r="60"/>
  </x:sheetData>
  <x:mergeCells>
    <x:mergeCell ref="K16:Q16"/>
  </x:mergeCells>
  <x:conditionalFormatting sqref="L18:Q24">
    <x:cfRule type="colorScale" priority="1">
      <x:colorScale>
        <x:cfvo type="min"/>
        <x:cfvo type="percentile" val="50"/>
        <x:cfvo type="max"/>
        <x:color rgb="FFF8696B"/>
        <x:color rgb="FFFFEB84"/>
        <x:color rgb="FF63BE7B"/>
      </x:colorScale>
    </x:cfRule>
  </x:conditionalFormatting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Pr>
    <x:tabColor rgb="FF17365D"/>
  </x:sheetPr>
  <x:sheetViews>
    <x:sheetView showGridLines="0" workbookViewId="0">
      <x:pane xSplit="4" ySplit="30" topLeftCell="E31" activePane="bottomRight" state="frozen"/>
    </x:sheetView>
  </x:sheetViews>
  <x:sheetFormatPr defaultRowHeight="15"/>
  <x:cols>
    <x:col min="1" max="1" width="3" hidden="0" customWidth="1"/>
    <x:col min="2" max="2" width="3" hidden="0" customWidth="1"/>
    <x:col min="3" max="3" width="34" hidden="0" customWidth="1"/>
    <x:col min="4" max="4" width="20" hidden="0" customWidth="1"/>
    <x:col min="5" max="5" width="16" hidden="0" customWidth="1"/>
    <x:col min="6" max="6" width="44" hidden="0" customWidth="1"/>
    <x:col min="7" max="7" width="15" hidden="0" customWidth="1"/>
    <x:col min="8" max="8" width="28" hidden="0" customWidth="1"/>
    <x:col min="9" max="9" width="15" hidden="0" customWidth="1"/>
    <x:col min="10" max="10" width="15" hidden="0" customWidth="1"/>
    <x:col min="11" max="11" width="15" hidden="0" customWidth="1"/>
    <x:col min="12" max="12" width="15" hidden="0" customWidth="1"/>
    <x:col min="13" max="13" width="24" hidden="0" customWidth="1"/>
    <x:col min="14" max="14" width="14" hidden="0" customWidth="1"/>
    <x:col min="15" max="15" width="13" hidden="0" customWidth="1"/>
    <x:col min="16" max="16" width="13" hidden="0" customWidth="1"/>
    <x:col min="17" max="17" width="13" hidden="0" customWidth="1"/>
    <x:col min="18" max="18" width="13" hidden="0" customWidth="1"/>
    <x:col min="19" max="19" width="13" hidden="0" customWidth="1"/>
    <x:col min="20" max="20" width="13" hidden="0" customWidth="1"/>
  </x:cols>
  <x:sheetData>
    <x:row r="2" ht="18" hidden="0" customHeight="1">
      <x:c r="C2" s="3" t="str">
        <x:v>FPT comparable valuation</x:v>
      </x:c>
      <x:c r="D2" s="2"/>
      <x:c r="E2" s="2"/>
      <x:c r="F2" s="2"/>
      <x:c r="G2" s="2"/>
      <x:c r="H2" s="2"/>
      <x:c r="I2" s="2"/>
      <x:c r="J2" s="2"/>
      <x:c r="K2" s="2"/>
      <x:c r="L2" s="2"/>
      <x:c r="M2" s="2"/>
      <x:c r="N2" s="2"/>
      <x:c r="O2" s="2"/>
      <x:c r="P2" s="2"/>
      <x:c r="Q2" s="2"/>
      <x:c r="R2" s="2"/>
      <x:c r="S2" s="2"/>
      <x:c r="T2" s="2"/>
    </x:row>
    <x:row r="3" ht="15" hidden="0" customHeight="1">
      <x:c r="C3" s="4" t="str">
        <x:v>Point-in-time cross-check using peer data available by 31-Oct-2025. P/E is applied to model-derived FY2026E parent earnings.</x:v>
      </x:c>
      <x:c r="D3" s="2"/>
      <x:c r="E3" s="2"/>
      <x:c r="F3" s="2"/>
      <x:c r="G3" s="2"/>
      <x:c r="H3" s="2"/>
      <x:c r="I3" s="2"/>
      <x:c r="J3" s="2"/>
      <x:c r="K3" s="2"/>
      <x:c r="L3" s="2"/>
      <x:c r="M3" s="2"/>
      <x:c r="N3" s="2"/>
      <x:c r="O3" s="2"/>
      <x:c r="P3" s="2"/>
      <x:c r="Q3" s="2"/>
      <x:c r="R3" s="2"/>
      <x:c r="S3" s="2"/>
      <x:c r="T3" s="2"/>
    </x:row>
    <x:row r="4" ht="15" hidden="0" customHeight="1">
      <x:c r="C4" s="5"/>
      <x:c r="D4" s="5"/>
      <x:c r="E4" s="5"/>
      <x:c r="F4" s="5"/>
      <x:c r="G4" s="5"/>
      <x:c r="H4" s="5"/>
      <x:c r="I4" s="5"/>
      <x:c r="J4" s="5"/>
      <x:c r="K4" s="5"/>
      <x:c r="L4" s="5"/>
      <x:c r="M4" s="5"/>
      <x:c r="N4" s="5"/>
      <x:c r="O4" s="5"/>
      <x:c r="P4" s="5"/>
      <x:c r="Q4" s="5"/>
      <x:c r="R4" s="2"/>
      <x:c r="S4" s="2"/>
      <x:c r="T4" s="2"/>
    </x:row>
    <x:row r="5" ht="15" hidden="0" customHeight="1">
      <x:c r="C5" s="21" t="str">
        <x:v>Valuation summary</x:v>
      </x:c>
      <x:c r="D5" s="22" t="str">
        <x:v>Unit</x:v>
      </x:c>
      <x:c r="E5" s="22" t="str">
        <x:v>Value</x:v>
      </x:c>
      <x:c r="F5" s="23" t="str">
        <x:v>Comment</x:v>
      </x:c>
      <x:c r="G5" s="2"/>
      <x:c r="H5" s="21" t="str">
        <x:v>Method</x:v>
      </x:c>
      <x:c r="I5" s="22" t="str">
        <x:v>Low</x:v>
      </x:c>
      <x:c r="J5" s="22" t="str">
        <x:v>Base</x:v>
      </x:c>
      <x:c r="K5" s="23" t="str">
        <x:v>High</x:v>
      </x:c>
      <x:c r="L5" s="2"/>
      <x:c r="M5" s="2"/>
      <x:c r="N5" s="2"/>
      <x:c r="O5" s="2"/>
      <x:c r="P5" s="2"/>
      <x:c r="Q5" s="2"/>
      <x:c r="R5" s="2"/>
      <x:c r="S5" s="2"/>
      <x:c r="T5" s="2"/>
    </x:row>
    <x:row r="6" ht="15" hidden="0" customHeight="1">
      <x:c r="C6" s="2" t="str">
        <x:v>Market price</x:v>
      </x:c>
      <x:c r="D6" s="2" t="str">
        <x:v>VND / share</x:v>
      </x:c>
      <x:c r="E6" s="69" t="n">
        <x:f>'Valuation'!E47</x:f>
        <x:v>102830</x:v>
      </x:c>
      <x:c r="F6" s="47" t="str">
        <x:v>31-Oct-2025 close</x:v>
      </x:c>
      <x:c r="G6" s="2"/>
      <x:c r="H6" s="2" t="str">
        <x:v>DCF</x:v>
      </x:c>
      <x:c r="I6" s="69" t="n">
        <x:f>'Valuation'!M22</x:f>
        <x:v>116340.8675534058</x:v>
      </x:c>
      <x:c r="J6" s="69" t="n">
        <x:f>'Valuation'!E46</x:f>
        <x:v>132526.66913903534</x:v>
      </x:c>
      <x:c r="K6" s="69" t="n">
        <x:f>'Valuation'!O20</x:f>
        <x:v>153749.2029790144</x:v>
      </x:c>
      <x:c r="L6" s="2"/>
      <x:c r="M6" s="2"/>
      <x:c r="N6" s="2"/>
      <x:c r="O6" s="2"/>
      <x:c r="P6" s="2"/>
      <x:c r="Q6" s="2"/>
      <x:c r="R6" s="2"/>
      <x:c r="S6" s="2"/>
      <x:c r="T6" s="2"/>
    </x:row>
    <x:row r="7" ht="15" hidden="0" customHeight="1">
      <x:c r="C7" s="70" t="str">
        <x:v>DCF value per share</x:v>
      </x:c>
      <x:c r="D7" s="70" t="str">
        <x:v>VND / share</x:v>
      </x:c>
      <x:c r="E7" s="71" t="n">
        <x:f>'Valuation'!E46</x:f>
        <x:v>132526.66913903534</x:v>
      </x:c>
      <x:c r="F7" s="74" t="str">
        <x:v>Primary intrinsic-value method</x:v>
      </x:c>
      <x:c r="G7" s="2"/>
      <x:c r="H7" s="2" t="str">
        <x:v>P/E comparables</x:v>
      </x:c>
      <x:c r="I7" s="69" t="n">
        <x:f>$E$25*'Assumptions'!E79</x:f>
        <x:v>98496.44277708602</x:v>
      </x:c>
      <x:c r="J7" s="69" t="n">
        <x:f>$E$25*$E$12</x:f>
        <x:v>116754.33871307815</x:v>
      </x:c>
      <x:c r="K7" s="69" t="n">
        <x:f>$E$25*$L$21</x:f>
        <x:v>122899.30390850332</x:v>
      </x:c>
      <x:c r="L7" s="2"/>
      <x:c r="M7" s="2"/>
      <x:c r="N7" s="2"/>
      <x:c r="O7" s="2"/>
      <x:c r="P7" s="2"/>
      <x:c r="Q7" s="2"/>
      <x:c r="R7" s="2"/>
      <x:c r="S7" s="2"/>
      <x:c r="T7" s="2"/>
    </x:row>
    <x:row r="8" ht="15" hidden="0" customHeight="1">
      <x:c r="C8" s="70" t="str">
        <x:v>Comparable value per share</x:v>
      </x:c>
      <x:c r="D8" s="70" t="str">
        <x:v>VND / share</x:v>
      </x:c>
      <x:c r="E8" s="71" t="n">
        <x:f>J7</x:f>
        <x:v>116754.33871307815</x:v>
      </x:c>
      <x:c r="F8" s="74" t="str">
        <x:v>Segment-mix peer median after the disclosed adjustment</x:v>
      </x:c>
      <x:c r="G8" s="2"/>
      <x:c r="H8" s="77" t="str">
        <x:v>Blended</x:v>
      </x:c>
      <x:c r="I8" s="78" t="n">
        <x:f>I6*'Assumptions'!E76+I7*'Assumptions'!E77</x:f>
        <x:v>109203.0976428779</x:v>
      </x:c>
      <x:c r="J8" s="78" t="n">
        <x:f>J6*'Assumptions'!E76+J7*'Assumptions'!E77</x:f>
        <x:v>126217.73696865246</x:v>
      </x:c>
      <x:c r="K8" s="78" t="n">
        <x:f>K6*'Assumptions'!E76+K7*'Assumptions'!E77</x:f>
        <x:v>141409.24335080996</x:v>
      </x:c>
      <x:c r="L8" s="2"/>
      <x:c r="M8" s="2"/>
      <x:c r="N8" s="2"/>
      <x:c r="O8" s="2"/>
      <x:c r="P8" s="2"/>
      <x:c r="Q8" s="2"/>
      <x:c r="R8" s="2"/>
      <x:c r="S8" s="2"/>
      <x:c r="T8" s="2"/>
    </x:row>
    <x:row r="9" ht="15" hidden="0" customHeight="1">
      <x:c r="C9" s="70" t="str">
        <x:v>Blended value per share</x:v>
      </x:c>
      <x:c r="D9" s="70" t="str">
        <x:v>VND / share</x:v>
      </x:c>
      <x:c r="E9" s="71" t="n">
        <x:f>J8</x:f>
        <x:v>126217.73696865246</x:v>
      </x:c>
      <x:c r="F9" s="74" t="str">
        <x:v>DCF and comparable values weighted in Assumptions</x:v>
      </x:c>
      <x:c r="G9" s="2"/>
      <x:c r="H9" s="2" t="str">
        <x:v>Market price</x:v>
      </x:c>
      <x:c r="I9" s="69" t="n">
        <x:f>$E$6</x:f>
        <x:v>102830</x:v>
      </x:c>
      <x:c r="J9" s="69" t="n">
        <x:f>$E$6</x:f>
        <x:v>102830</x:v>
      </x:c>
      <x:c r="K9" s="69" t="n">
        <x:f>$E$6</x:f>
        <x:v>102830</x:v>
      </x:c>
      <x:c r="L9" s="2"/>
      <x:c r="M9" s="2"/>
      <x:c r="N9" s="2"/>
      <x:c r="O9" s="2"/>
      <x:c r="P9" s="2"/>
      <x:c r="Q9" s="2"/>
      <x:c r="R9" s="2"/>
      <x:c r="S9" s="2"/>
      <x:c r="T9" s="2"/>
    </x:row>
    <x:row r="10" ht="15" hidden="0" customHeight="1">
      <x:c r="C10" s="70" t="str">
        <x:v>Blended price gap</x:v>
      </x:c>
      <x:c r="D10" s="70" t="str">
        <x:v>%</x:v>
      </x:c>
      <x:c r="E10" s="72" t="n">
        <x:f>E9/E6-1</x:f>
        <x:v>0.22744079518284988</x:v>
      </x:c>
      <x:c r="F10" s="74" t="str">
        <x:v>Blended value relative to the market price</x:v>
      </x:c>
      <x:c r="G10" s="2"/>
      <x:c r="H10" s="2"/>
      <x:c r="I10" s="2"/>
      <x:c r="J10" s="2"/>
      <x:c r="K10" s="2"/>
      <x:c r="L10" s="2"/>
      <x:c r="M10" s="2"/>
      <x:c r="N10" s="2"/>
      <x:c r="O10" s="2"/>
      <x:c r="P10" s="2"/>
      <x:c r="Q10" s="2"/>
      <x:c r="R10" s="2"/>
      <x:c r="S10" s="2"/>
      <x:c r="T10" s="2"/>
    </x:row>
    <x:row r="11" ht="15" hidden="0" customHeight="1">
      <x:c r="C11" s="2" t="str">
        <x:v>FY2026E EPS</x:v>
      </x:c>
      <x:c r="D11" s="2" t="str">
        <x:v>VND / share</x:v>
      </x:c>
      <x:c r="E11" s="69" t="n">
        <x:f>E25</x:f>
        <x:v>5793.908398652119</x:v>
      </x:c>
      <x:c r="F11" s="47" t="str">
        <x:v>Model forecast; not broker consensus</x:v>
      </x:c>
      <x:c r="G11" s="2"/>
      <x:c r="H11" s="2"/>
      <x:c r="I11" s="2"/>
      <x:c r="J11" s="2"/>
      <x:c r="K11" s="2"/>
      <x:c r="L11" s="2"/>
      <x:c r="M11" s="2"/>
      <x:c r="N11" s="2"/>
      <x:c r="O11" s="2"/>
      <x:c r="P11" s="2"/>
      <x:c r="Q11" s="2"/>
      <x:c r="R11" s="2"/>
      <x:c r="S11" s="2"/>
      <x:c r="T11" s="2"/>
    </x:row>
    <x:row r="12" ht="15" hidden="0" customHeight="1">
      <x:c r="C12" s="2" t="str">
        <x:v>Applied 2026F P/E</x:v>
      </x:c>
      <x:c r="D12" s="2" t="str">
        <x:v>x</x:v>
      </x:c>
      <x:c r="E12" s="50" t="n">
        <x:f>L21*(1+'Assumptions'!E78)</x:f>
        <x:v>20.151222746331232</x:v>
      </x:c>
      <x:c r="F12" s="47" t="str">
        <x:v>Peer mix median after the group adjustment</x:v>
      </x:c>
      <x:c r="G12" s="2"/>
      <x:c r="H12" s="21" t="str">
        <x:v>Broker cross-check</x:v>
      </x:c>
      <x:c r="I12" s="22" t="str">
        <x:v>Report date</x:v>
      </x:c>
      <x:c r="J12" s="22" t="str">
        <x:v>Target price</x:v>
      </x:c>
      <x:c r="K12" s="23" t="str">
        <x:v>Context</x:v>
      </x:c>
      <x:c r="L12" s="2"/>
      <x:c r="M12" s="2"/>
      <x:c r="N12" s="2"/>
      <x:c r="O12" s="2"/>
      <x:c r="P12" s="2"/>
      <x:c r="Q12" s="2"/>
      <x:c r="R12" s="2"/>
      <x:c r="S12" s="2"/>
      <x:c r="T12" s="2"/>
    </x:row>
    <x:row r="13" ht="15" hidden="0" customHeight="1">
      <x:c r="C13" s="2"/>
      <x:c r="D13" s="2"/>
      <x:c r="E13" s="2"/>
      <x:c r="F13" s="2"/>
      <x:c r="G13" s="2"/>
      <x:c r="H13" s="2" t="str">
        <x:v>Vietcap</x:v>
      </x:c>
      <x:c r="I13" s="41" t="n">
        <x:v>45952</x:v>
      </x:c>
      <x:c r="J13" s="69" t="n">
        <x:v>116600</x:v>
      </x:c>
      <x:c r="K13" s="55" t="str">
        <x:v>BUY; point-in-time peer set and forecast table</x:v>
      </x:c>
      <x:c r="L13" s="2"/>
      <x:c r="M13" s="2"/>
      <x:c r="N13" s="2"/>
      <x:c r="O13" s="2"/>
      <x:c r="P13" s="2"/>
      <x:c r="Q13" s="2"/>
      <x:c r="R13" s="2"/>
      <x:c r="S13" s="2"/>
      <x:c r="T13" s="2"/>
    </x:row>
    <x:row r="14" ht="15" hidden="0" customHeight="1">
      <x:c r="C14" s="2"/>
      <x:c r="D14" s="2"/>
      <x:c r="E14" s="2"/>
      <x:c r="F14" s="2"/>
      <x:c r="G14" s="2"/>
      <x:c r="H14" s="2" t="str">
        <x:v>KBSV</x:v>
      </x:c>
      <x:c r="I14" s="41" t="n">
        <x:v>45911</x:v>
      </x:c>
      <x:c r="J14" s="69" t="n">
        <x:v>123100</x:v>
      </x:c>
      <x:c r="K14" s="55" t="str">
        <x:v>50% DCF / 50% P/E; 21.0x 2026F P/E</x:v>
      </x:c>
      <x:c r="L14" s="2"/>
      <x:c r="M14" s="2"/>
      <x:c r="N14" s="2"/>
      <x:c r="O14" s="2"/>
      <x:c r="P14" s="2"/>
      <x:c r="Q14" s="2"/>
      <x:c r="R14" s="2"/>
      <x:c r="S14" s="2"/>
      <x:c r="T14" s="2"/>
    </x:row>
    <x:row r="15" ht="15" hidden="0" customHeight="1">
      <x:c r="C15" s="2"/>
      <x:c r="D15" s="2"/>
      <x:c r="E15" s="2"/>
      <x:c r="F15" s="2"/>
      <x:c r="G15" s="2"/>
      <x:c r="H15" s="2" t="str">
        <x:v>ACBS</x:v>
      </x:c>
      <x:c r="I15" s="41" t="n">
        <x:v>45958</x:v>
      </x:c>
      <x:c r="J15" s="69" t="n">
        <x:v>122400</x:v>
      </x:c>
      <x:c r="K15" s="55" t="str">
        <x:v>BUY; 1H2026 target</x:v>
      </x:c>
      <x:c r="L15" s="2"/>
      <x:c r="M15" s="2"/>
      <x:c r="N15" s="2"/>
      <x:c r="O15" s="2"/>
      <x:c r="P15" s="2"/>
      <x:c r="Q15" s="2"/>
      <x:c r="R15" s="2"/>
      <x:c r="S15" s="2"/>
      <x:c r="T15" s="2"/>
    </x:row>
    <x:row r="16" ht="15" hidden="0" customHeight="1">
      <x:c r="C16" s="21" t="str">
        <x:v>FY2026E earnings bridge</x:v>
      </x:c>
      <x:c r="D16" s="22" t="str">
        <x:v>Unit</x:v>
      </x:c>
      <x:c r="E16" s="22" t="str">
        <x:v>Value</x:v>
      </x:c>
      <x:c r="F16" s="23" t="str">
        <x:v>Calculation</x:v>
      </x:c>
      <x:c r="G16" s="2"/>
      <x:c r="H16" s="2"/>
      <x:c r="I16" s="2"/>
      <x:c r="J16" s="2"/>
      <x:c r="K16" s="2"/>
      <x:c r="L16" s="2"/>
      <x:c r="M16" s="2"/>
      <x:c r="N16" s="2"/>
      <x:c r="O16" s="2"/>
      <x:c r="P16" s="2"/>
      <x:c r="Q16" s="2"/>
      <x:c r="R16" s="2"/>
      <x:c r="S16" s="2"/>
      <x:c r="T16" s="2"/>
    </x:row>
    <x:row r="17" ht="15" hidden="0" customHeight="1">
      <x:c r="C17" s="2" t="str">
        <x:v>EBIT before financial items</x:v>
      </x:c>
      <x:c r="D17" s="2" t="str">
        <x:v>VND bn</x:v>
      </x:c>
      <x:c r="E17" s="53" t="n">
        <x:f>'FCFF Build'!K9</x:f>
        <x:v>13300.280240407437</x:v>
      </x:c>
      <x:c r="F17" s="47" t="str">
        <x:v>Selected-case forecast</x:v>
      </x:c>
      <x:c r="G17" s="2"/>
      <x:c r="H17" s="21" t="str">
        <x:v>Segment</x:v>
      </x:c>
      <x:c r="I17" s="22" t="str">
        <x:v>9M2025 PBT</x:v>
      </x:c>
      <x:c r="J17" s="22" t="str">
        <x:v>PBT weight</x:v>
      </x:c>
      <x:c r="K17" s="22" t="str">
        <x:v>2026F peer P/E</x:v>
      </x:c>
      <x:c r="L17" s="23" t="str">
        <x:v>Weighted P/E</x:v>
      </x:c>
      <x:c r="M17" s="2"/>
      <x:c r="N17" s="2"/>
      <x:c r="O17" s="2"/>
      <x:c r="P17" s="2"/>
      <x:c r="Q17" s="2"/>
      <x:c r="R17" s="2"/>
      <x:c r="S17" s="2"/>
      <x:c r="T17" s="2"/>
    </x:row>
    <x:row r="18" ht="15" hidden="0" customHeight="1">
      <x:c r="C18" s="2" t="str">
        <x:v>PBT / EBIT calibration</x:v>
      </x:c>
      <x:c r="D18" s="2" t="str">
        <x:v>x</x:v>
      </x:c>
      <x:c r="E18" s="68" t="n">
        <x:f>'Annual Actuals'!I9/'FCFF Build'!I9</x:f>
        <x:v>1.0534164500483039</x:v>
      </x:c>
      <x:c r="F18" s="47" t="str">
        <x:v>FY2024 reported PBT divided by FY2024 EBIT before financial items</x:v>
      </x:c>
      <x:c r="G18" s="2"/>
      <x:c r="H18" s="2" t="str">
        <x:v>Technology</x:v>
      </x:c>
      <x:c r="I18" s="82" t="n">
        <x:f>SUMIFS('9M25 Operating'!$F$6:$F$80,'9M25 Operating'!$D$6:$D$80,"profit_before_tax",'9M25 Operating'!$E$6:$E$80,"technology_sector")</x:f>
        <x:v>4333</x:v>
      </x:c>
      <x:c r="J18" s="49" t="n">
        <x:f>I18/$I$21</x:f>
        <x:v>0.4541928721174004</x:v>
      </x:c>
      <x:c r="K18" s="50" t="n">
        <x:f>MEDIAN(K31:K42)</x:f>
        <x:v>26.6</x:v>
      </x:c>
      <x:c r="L18" s="50" t="n">
        <x:f>J18*K18</x:f>
        <x:v>12.081530398322851</x:v>
      </x:c>
      <x:c r="M18" s="2"/>
      <x:c r="N18" s="2"/>
      <x:c r="O18" s="2"/>
      <x:c r="P18" s="2"/>
      <x:c r="Q18" s="2"/>
      <x:c r="R18" s="2"/>
      <x:c r="S18" s="2"/>
      <x:c r="T18" s="2"/>
    </x:row>
    <x:row r="19" ht="15" hidden="0" customHeight="1">
      <x:c r="C19" s="2" t="str">
        <x:v>Profit before tax</x:v>
      </x:c>
      <x:c r="D19" s="2" t="str">
        <x:v>VND bn</x:v>
      </x:c>
      <x:c r="E19" s="53" t="n">
        <x:f>E17*E18</x:f>
        <x:v>14010.733995497603</x:v>
      </x:c>
      <x:c r="F19" s="47" t="str">
        <x:v>EBIT multiplied by the historical PBT / EBIT calibration</x:v>
      </x:c>
      <x:c r="G19" s="2"/>
      <x:c r="H19" s="2" t="str">
        <x:v>Telecom</x:v>
      </x:c>
      <x:c r="I19" s="82" t="n">
        <x:f>SUMIFS('9M25 Operating'!$F$6:$F$80,'9M25 Operating'!$D$6:$D$80,"profit_before_tax",'9M25 Operating'!$E$6:$E$80,"telecommunications_sector")</x:f>
        <x:v>3228</x:v>
      </x:c>
      <x:c r="J19" s="49" t="n">
        <x:f>I19/$I$21</x:f>
        <x:v>0.3383647798742138</x:v>
      </x:c>
      <x:c r="K19" s="50" t="n">
        <x:f>MEDIAN(K43:K51)</x:f>
        <x:v>16.5</x:v>
      </x:c>
      <x:c r="L19" s="50" t="n">
        <x:f>J19*K19</x:f>
        <x:v>5.583018867924528</x:v>
      </x:c>
      <x:c r="M19" s="2"/>
      <x:c r="N19" s="2"/>
      <x:c r="O19" s="2"/>
      <x:c r="P19" s="2"/>
      <x:c r="Q19" s="2"/>
      <x:c r="R19" s="2"/>
      <x:c r="S19" s="2"/>
      <x:c r="T19" s="2"/>
    </x:row>
    <x:row r="20" ht="15" hidden="0" customHeight="1">
      <x:c r="C20" s="2" t="str">
        <x:v>Tax rate</x:v>
      </x:c>
      <x:c r="D20" s="2" t="str">
        <x:v>%</x:v>
      </x:c>
      <x:c r="E20" s="49" t="n">
        <x:f>'Assumptions'!F38</x:f>
        <x:v>0.155</x:v>
      </x:c>
      <x:c r="F20" s="47" t="str">
        <x:v>Selected-case FY2026 tax assumption</x:v>
      </x:c>
      <x:c r="G20" s="2"/>
      <x:c r="H20" s="2" t="str">
        <x:v>Education, investment and other</x:v>
      </x:c>
      <x:c r="I20" s="82" t="n">
        <x:f>SUMIFS('9M25 Operating'!$F$6:$F$80,'9M25 Operating'!$D$6:$D$80,"profit_before_tax",'9M25 Operating'!$E$6:$E$80,"education_investment_other")</x:f>
        <x:v>1979</x:v>
      </x:c>
      <x:c r="J20" s="49" t="n">
        <x:f>I20/$I$21</x:f>
        <x:v>0.20744234800838574</x:v>
      </x:c>
      <x:c r="K20" s="50" t="n">
        <x:f>MEDIAN(K52:K60)</x:f>
        <x:v>17.1</x:v>
      </x:c>
      <x:c r="L20" s="50" t="n">
        <x:f>J20*K20</x:f>
        <x:v>3.547264150943396</x:v>
      </x:c>
      <x:c r="M20" s="2"/>
      <x:c r="N20" s="2"/>
      <x:c r="O20" s="2"/>
      <x:c r="P20" s="2"/>
      <x:c r="Q20" s="2"/>
      <x:c r="R20" s="2"/>
      <x:c r="S20" s="2"/>
      <x:c r="T20" s="2"/>
    </x:row>
    <x:row r="21" ht="15" hidden="0" customHeight="1">
      <x:c r="C21" s="2" t="str">
        <x:v>Profit after tax</x:v>
      </x:c>
      <x:c r="D21" s="2" t="str">
        <x:v>VND bn</x:v>
      </x:c>
      <x:c r="E21" s="49" t="n">
        <x:f>E19*(1-E20)</x:f>
        <x:v>11839.070226195474</x:v>
      </x:c>
      <x:c r="F21" s="47" t="str">
        <x:v>PBT after tax</x:v>
      </x:c>
      <x:c r="G21" s="2"/>
      <x:c r="H21" s="77" t="str">
        <x:v>Mix-adjusted median</x:v>
      </x:c>
      <x:c r="I21" s="89" t="n">
        <x:f>SUM(I18:I20)</x:f>
        <x:v>9540</x:v>
      </x:c>
      <x:c r="J21" s="90" t="n">
        <x:f>SUM(J18:J20)</x:f>
        <x:v>1</x:v>
      </x:c>
      <x:c r="K21" s="91"/>
      <x:c r="L21" s="91" t="n">
        <x:f>SUM(L18:L20)</x:f>
        <x:v>21.211813417190772</x:v>
      </x:c>
      <x:c r="M21" s="2"/>
      <x:c r="N21" s="2"/>
      <x:c r="O21" s="2"/>
      <x:c r="P21" s="2"/>
      <x:c r="Q21" s="2"/>
      <x:c r="R21" s="2"/>
      <x:c r="S21" s="2"/>
      <x:c r="T21" s="2"/>
    </x:row>
    <x:row r="22" ht="15" hidden="0" customHeight="1">
      <x:c r="C22" s="2" t="str">
        <x:v>Parent share of PAT</x:v>
      </x:c>
      <x:c r="D22" s="2" t="str">
        <x:v>%</x:v>
      </x:c>
      <x:c r="E22" s="49" t="n">
        <x:f>'9M25 Operating'!F9/'9M25 Operating'!F8</x:f>
        <x:v>0.8336773097001335</x:v>
      </x:c>
      <x:c r="F22" s="47" t="str">
        <x:v>9M2025 parent PAT divided by group PAT</x:v>
      </x:c>
      <x:c r="G22" s="2"/>
      <x:c r="H22" s="2"/>
      <x:c r="I22" s="2"/>
      <x:c r="J22" s="2"/>
      <x:c r="K22" s="2"/>
      <x:c r="L22" s="2"/>
      <x:c r="M22" s="2"/>
      <x:c r="N22" s="2"/>
      <x:c r="O22" s="2"/>
      <x:c r="P22" s="2"/>
      <x:c r="Q22" s="2"/>
      <x:c r="R22" s="2"/>
      <x:c r="S22" s="2"/>
      <x:c r="T22" s="2"/>
    </x:row>
    <x:row r="23" ht="15" hidden="0" customHeight="1">
      <x:c r="C23" s="2" t="str">
        <x:v>Parent profit after tax</x:v>
      </x:c>
      <x:c r="D23" s="2" t="str">
        <x:v>VND bn</x:v>
      </x:c>
      <x:c r="E23" s="53" t="n">
        <x:f>E21*E22</x:f>
        <x:v>9869.964215525593</x:v>
      </x:c>
      <x:c r="F23" s="47" t="str">
        <x:v>PAT multiplied by the parent share</x:v>
      </x:c>
      <x:c r="G23" s="2"/>
      <x:c r="H23" s="2"/>
      <x:c r="I23" s="2"/>
      <x:c r="J23" s="2"/>
      <x:c r="K23" s="2"/>
      <x:c r="L23" s="2"/>
      <x:c r="M23" s="2"/>
      <x:c r="N23" s="2"/>
      <x:c r="O23" s="2"/>
      <x:c r="P23" s="2"/>
      <x:c r="Q23" s="2"/>
      <x:c r="R23" s="2"/>
      <x:c r="S23" s="2"/>
      <x:c r="T23" s="2"/>
    </x:row>
    <x:row r="24" ht="15" hidden="0" customHeight="1">
      <x:c r="C24" s="2" t="str">
        <x:v>Shares outstanding</x:v>
      </x:c>
      <x:c r="D24" s="2" t="str">
        <x:v>million</x:v>
      </x:c>
      <x:c r="E24" s="53" t="n">
        <x:f>'Q3 Balance'!E14</x:f>
        <x:v>1703.507121</x:v>
      </x:c>
      <x:c r="F24" s="47" t="str">
        <x:v>30-Sep-2025 reported shares</x:v>
      </x:c>
      <x:c r="G24" s="2"/>
      <x:c r="H24" s="2"/>
      <x:c r="I24" s="2"/>
      <x:c r="J24" s="2"/>
      <x:c r="K24" s="2"/>
      <x:c r="L24" s="2"/>
      <x:c r="M24" s="2"/>
      <x:c r="N24" s="2"/>
      <x:c r="O24" s="2"/>
      <x:c r="P24" s="2"/>
      <x:c r="Q24" s="2"/>
      <x:c r="R24" s="2"/>
      <x:c r="S24" s="2"/>
      <x:c r="T24" s="2"/>
    </x:row>
    <x:row r="25" ht="15" hidden="0" customHeight="1">
      <x:c r="C25" s="58" t="str">
        <x:v>EPS</x:v>
      </x:c>
      <x:c r="D25" s="58" t="str">
        <x:v>VND / share</x:v>
      </x:c>
      <x:c r="E25" s="79" t="n">
        <x:f>E23/E24*1000</x:f>
        <x:v>5793.908398652119</x:v>
      </x:c>
      <x:c r="F25" s="81" t="str">
        <x:v>Parent PAT divided by shares</x:v>
      </x:c>
      <x:c r="G25" s="2"/>
      <x:c r="H25" s="2"/>
      <x:c r="I25" s="2"/>
      <x:c r="J25" s="2"/>
      <x:c r="K25" s="2"/>
      <x:c r="L25" s="2"/>
      <x:c r="M25" s="2"/>
      <x:c r="N25" s="2"/>
      <x:c r="O25" s="2"/>
      <x:c r="P25" s="2"/>
      <x:c r="Q25" s="2"/>
      <x:c r="R25" s="2"/>
      <x:c r="S25" s="2"/>
      <x:c r="T25" s="2"/>
    </x:row>
    <x:row r="26" ht="15" hidden="0" customHeight="1">
      <x:c r="C26" s="2"/>
      <x:c r="D26" s="2"/>
      <x:c r="E26" s="2"/>
      <x:c r="F26" s="2"/>
      <x:c r="G26" s="2"/>
      <x:c r="H26" s="2"/>
      <x:c r="I26" s="2"/>
      <x:c r="J26" s="2"/>
      <x:c r="K26" s="2"/>
      <x:c r="L26" s="2"/>
      <x:c r="M26" s="2"/>
      <x:c r="N26" s="2"/>
      <x:c r="O26" s="2"/>
      <x:c r="P26" s="2"/>
      <x:c r="Q26" s="2"/>
      <x:c r="R26" s="2"/>
      <x:c r="S26" s="2"/>
      <x:c r="T26" s="2"/>
    </x:row>
    <x:row r="27" ht="15" hidden="0" customHeight="1">
      <x:c r="C27" s="2"/>
      <x:c r="D27" s="2"/>
      <x:c r="E27" s="2"/>
      <x:c r="F27" s="2"/>
      <x:c r="G27" s="2"/>
      <x:c r="H27" s="2"/>
      <x:c r="I27" s="2"/>
      <x:c r="J27" s="2"/>
      <x:c r="K27" s="2"/>
      <x:c r="L27" s="2"/>
      <x:c r="M27" s="2"/>
      <x:c r="N27" s="2"/>
      <x:c r="O27" s="2"/>
      <x:c r="P27" s="2"/>
      <x:c r="Q27" s="2"/>
      <x:c r="R27" s="2"/>
      <x:c r="S27" s="2"/>
      <x:c r="T27" s="2"/>
    </x:row>
    <x:row r="28" ht="15" hidden="0" customHeight="1">
      <x:c r="C28" s="2"/>
      <x:c r="D28" s="2"/>
      <x:c r="E28" s="2"/>
      <x:c r="F28" s="2"/>
      <x:c r="G28" s="2"/>
      <x:c r="H28" s="2"/>
      <x:c r="I28" s="2"/>
      <x:c r="J28" s="2"/>
      <x:c r="K28" s="2"/>
      <x:c r="L28" s="2"/>
      <x:c r="M28" s="2"/>
      <x:c r="N28" s="2"/>
      <x:c r="O28" s="2"/>
      <x:c r="P28" s="2"/>
      <x:c r="Q28" s="2"/>
      <x:c r="R28" s="2"/>
      <x:c r="S28" s="2"/>
      <x:c r="T28" s="2"/>
    </x:row>
    <x:row r="29" ht="15" hidden="0" customHeight="1">
      <x:c r="C29" s="35" t="str">
        <x:v>Point-in-time comparable companies</x:v>
      </x:c>
      <x:c r="D29" s="36" t="str">
        <x:v>Point-in-time comparable companies</x:v>
      </x:c>
      <x:c r="E29" s="36" t="str">
        <x:v>Point-in-time comparable companies</x:v>
      </x:c>
      <x:c r="F29" s="36" t="str">
        <x:v>Point-in-time comparable companies</x:v>
      </x:c>
      <x:c r="G29" s="36" t="str">
        <x:v>Point-in-time comparable companies</x:v>
      </x:c>
      <x:c r="H29" s="36" t="str">
        <x:v>Point-in-time comparable companies</x:v>
      </x:c>
      <x:c r="I29" s="36" t="str">
        <x:v>Point-in-time comparable companies</x:v>
      </x:c>
      <x:c r="J29" s="36" t="str">
        <x:v>Point-in-time comparable companies</x:v>
      </x:c>
      <x:c r="K29" s="36" t="str">
        <x:v>Point-in-time comparable companies</x:v>
      </x:c>
      <x:c r="L29" s="36" t="str">
        <x:v>Point-in-time comparable companies</x:v>
      </x:c>
      <x:c r="M29" s="36" t="str">
        <x:v>Point-in-time comparable companies</x:v>
      </x:c>
      <x:c r="N29" s="37" t="str">
        <x:v>Point-in-time comparable companies</x:v>
      </x:c>
      <x:c r="O29" s="2"/>
      <x:c r="P29" s="2"/>
      <x:c r="Q29" s="2"/>
      <x:c r="R29" s="2"/>
      <x:c r="S29" s="2"/>
      <x:c r="T29" s="2"/>
    </x:row>
    <x:row r="30" ht="15" hidden="0" customHeight="1">
      <x:c r="C30" s="21" t="str">
        <x:v>Segment</x:v>
      </x:c>
      <x:c r="D30" s="22" t="str">
        <x:v>Company</x:v>
      </x:c>
      <x:c r="E30" s="22" t="str">
        <x:v>Country</x:v>
      </x:c>
      <x:c r="F30" s="22" t="str">
        <x:v>Data date</x:v>
      </x:c>
      <x:c r="G30" s="22" t="str">
        <x:v>Market cap (USDm)</x:v>
      </x:c>
      <x:c r="H30" s="22" t="str">
        <x:v>2026F EPS growth</x:v>
      </x:c>
      <x:c r="I30" s="22" t="str">
        <x:v>ROE</x:v>
      </x:c>
      <x:c r="J30" s="22" t="str">
        <x:v>TTM P/E</x:v>
      </x:c>
      <x:c r="K30" s="22" t="str">
        <x:v>2026F P/E</x:v>
      </x:c>
      <x:c r="L30" s="22" t="str">
        <x:v>P/B</x:v>
      </x:c>
      <x:c r="M30" s="22" t="str">
        <x:v>Source ID</x:v>
      </x:c>
      <x:c r="N30" s="23" t="str">
        <x:v>Status</x:v>
      </x:c>
      <x:c r="O30" s="2"/>
      <x:c r="P30" s="2"/>
      <x:c r="Q30" s="2"/>
      <x:c r="R30" s="2"/>
      <x:c r="S30" s="2"/>
      <x:c r="T30" s="2"/>
    </x:row>
    <x:row r="31" ht="22" hidden="0" customHeight="1">
      <x:c r="C31" s="2" t="str">
        <x:v>Global IT services</x:v>
      </x:c>
      <x:c r="D31" s="2" t="str">
        <x:v>Eclerx Services</x:v>
      </x:c>
      <x:c r="E31" s="2" t="str">
        <x:v>India</x:v>
      </x:c>
      <x:c r="F31" s="41" t="n">
        <x:v>45951</x:v>
      </x:c>
      <x:c r="G31" s="69" t="n">
        <x:v>2237</x:v>
      </x:c>
      <x:c r="H31" s="49" t="n">
        <x:v>0.207</x:v>
      </x:c>
      <x:c r="I31" s="49" t="n">
        <x:v>0.238</x:v>
      </x:c>
      <x:c r="J31" s="50" t="n">
        <x:v>37.8</x:v>
      </x:c>
      <x:c r="K31" s="50" t="n">
        <x:v>26.8</x:v>
      </x:c>
      <x:c r="L31" s="50" t="n">
        <x:v>8.9</x:v>
      </x:c>
      <x:c r="M31" s="46" t="str">
        <x:v>vietcap_fpt_20251022</x:v>
      </x:c>
      <x:c r="N31" s="46" t="str">
        <x:v>yes</x:v>
      </x:c>
      <x:c r="O31" s="2"/>
      <x:c r="P31" s="2"/>
      <x:c r="Q31" s="2"/>
      <x:c r="R31" s="2"/>
      <x:c r="S31" s="2"/>
      <x:c r="T31" s="2"/>
    </x:row>
    <x:row r="32" ht="22" hidden="0" customHeight="1">
      <x:c r="C32" s="2" t="str">
        <x:v>Global IT services</x:v>
      </x:c>
      <x:c r="D32" s="2" t="str">
        <x:v>Birlasoft Ltd</x:v>
      </x:c>
      <x:c r="E32" s="2" t="str">
        <x:v>India</x:v>
      </x:c>
      <x:c r="F32" s="41" t="n">
        <x:v>45951</x:v>
      </x:c>
      <x:c r="G32" s="69" t="n">
        <x:v>1073</x:v>
      </x:c>
      <x:c r="H32" s="49" t="n">
        <x:v>-0.075</x:v>
      </x:c>
      <x:c r="I32" s="49" t="n">
        <x:v>0.159</x:v>
      </x:c>
      <x:c r="J32" s="50" t="n">
        <x:v>18.2</x:v>
      </x:c>
      <x:c r="K32" s="50" t="n">
        <x:v>15.6</x:v>
      </x:c>
      <x:c r="L32" s="50" t="n">
        <x:v>2.7</x:v>
      </x:c>
      <x:c r="M32" s="46" t="str">
        <x:v>vietcap_fpt_20251022</x:v>
      </x:c>
      <x:c r="N32" s="46" t="str">
        <x:v>yes</x:v>
      </x:c>
      <x:c r="O32" s="2"/>
      <x:c r="P32" s="2"/>
      <x:c r="Q32" s="2"/>
      <x:c r="R32" s="2"/>
      <x:c r="S32" s="2"/>
      <x:c r="T32" s="2"/>
    </x:row>
    <x:row r="33" ht="22" hidden="0" customHeight="1">
      <x:c r="C33" s="2" t="str">
        <x:v>Global IT services</x:v>
      </x:c>
      <x:c r="D33" s="2" t="str">
        <x:v>Coforge Ltd</x:v>
      </x:c>
      <x:c r="E33" s="2" t="str">
        <x:v>India</x:v>
      </x:c>
      <x:c r="F33" s="41" t="n">
        <x:v>45951</x:v>
      </x:c>
      <x:c r="G33" s="69" t="n">
        <x:v>6647</x:v>
      </x:c>
      <x:c r="H33" s="49" t="n">
        <x:v>0.708</x:v>
      </x:c>
      <x:c r="I33" s="49" t="n">
        <x:v>0.16</x:v>
      </x:c>
      <x:c r="J33" s="50" t="n">
        <x:v>63.2</x:v>
      </x:c>
      <x:c r="K33" s="50" t="n">
        <x:v>33.5</x:v>
      </x:c>
      <x:c r="L33" s="50" t="n">
        <x:v>17.7</x:v>
      </x:c>
      <x:c r="M33" s="46" t="str">
        <x:v>vietcap_fpt_20251022</x:v>
      </x:c>
      <x:c r="N33" s="46" t="str">
        <x:v>yes</x:v>
      </x:c>
      <x:c r="O33" s="2"/>
      <x:c r="P33" s="2"/>
      <x:c r="Q33" s="2"/>
      <x:c r="R33" s="2"/>
      <x:c r="S33" s="2"/>
      <x:c r="T33" s="2"/>
    </x:row>
    <x:row r="34" ht="22" hidden="0" customHeight="1">
      <x:c r="C34" s="2" t="str">
        <x:v>Global IT services</x:v>
      </x:c>
      <x:c r="D34" s="2" t="str">
        <x:v>Sonata Software</x:v>
      </x:c>
      <x:c r="E34" s="2" t="str">
        <x:v>India</x:v>
      </x:c>
      <x:c r="F34" s="41" t="n">
        <x:v>45951</x:v>
      </x:c>
      <x:c r="G34" s="69" t="n">
        <x:v>1146</x:v>
      </x:c>
      <x:c r="H34" s="49" t="n">
        <x:v>0.098</x:v>
      </x:c>
      <x:c r="I34" s="49" t="n">
        <x:v>0.273</x:v>
      </x:c>
      <x:c r="J34" s="50" t="n">
        <x:v>23.5</x:v>
      </x:c>
      <x:c r="K34" s="50" t="n">
        <x:v>17.3</x:v>
      </x:c>
      <x:c r="L34" s="50" t="n">
        <x:v>5.9</x:v>
      </x:c>
      <x:c r="M34" s="46" t="str">
        <x:v>vietcap_fpt_20251022</x:v>
      </x:c>
      <x:c r="N34" s="46" t="str">
        <x:v>yes</x:v>
      </x:c>
      <x:c r="O34" s="2"/>
      <x:c r="P34" s="2"/>
      <x:c r="Q34" s="2"/>
      <x:c r="R34" s="2"/>
      <x:c r="S34" s="2"/>
      <x:c r="T34" s="2"/>
    </x:row>
    <x:row r="35" ht="22" hidden="0" customHeight="1">
      <x:c r="C35" s="2" t="str">
        <x:v>Global IT services</x:v>
      </x:c>
      <x:c r="D35" s="2" t="str">
        <x:v>KPIT Technologies</x:v>
      </x:c>
      <x:c r="E35" s="2" t="str">
        <x:v>India</x:v>
      </x:c>
      <x:c r="F35" s="41" t="n">
        <x:v>45951</x:v>
      </x:c>
      <x:c r="G35" s="69" t="n">
        <x:v>3574</x:v>
      </x:c>
      <x:c r="H35" s="49" t="n">
        <x:v>-0.037</x:v>
      </x:c>
      <x:c r="I35" s="49" t="n">
        <x:v>0.332</x:v>
      </x:c>
      <x:c r="J35" s="50" t="n">
        <x:v>37.1</x:v>
      </x:c>
      <x:c r="K35" s="50" t="n">
        <x:v>31.8</x:v>
      </x:c>
      <x:c r="L35" s="50" t="n">
        <x:v>10.7</x:v>
      </x:c>
      <x:c r="M35" s="46" t="str">
        <x:v>vietcap_fpt_20251022</x:v>
      </x:c>
      <x:c r="N35" s="46" t="str">
        <x:v>yes</x:v>
      </x:c>
      <x:c r="O35" s="2"/>
      <x:c r="P35" s="2"/>
      <x:c r="Q35" s="2"/>
      <x:c r="R35" s="2"/>
      <x:c r="S35" s="2"/>
      <x:c r="T35" s="2"/>
    </x:row>
    <x:row r="36" ht="22" hidden="0" customHeight="1">
      <x:c r="C36" s="2" t="str">
        <x:v>Global IT services</x:v>
      </x:c>
      <x:c r="D36" s="2" t="str">
        <x:v>L&amp;T Technologies</x:v>
      </x:c>
      <x:c r="E36" s="2" t="str">
        <x:v>India</x:v>
      </x:c>
      <x:c r="F36" s="41" t="n">
        <x:v>45951</x:v>
      </x:c>
      <x:c r="G36" s="69" t="n">
        <x:v>5061</x:v>
      </x:c>
      <x:c r="H36" s="49" t="n">
        <x:v>0.068</x:v>
      </x:c>
      <x:c r="I36" s="49" t="n">
        <x:v>0.216</x:v>
      </x:c>
      <x:c r="J36" s="50" t="n">
        <x:v>34.8</x:v>
      </x:c>
      <x:c r="K36" s="50" t="n">
        <x:v>27.5</x:v>
      </x:c>
      <x:c r="L36" s="50" t="n">
        <x:v>7.2</x:v>
      </x:c>
      <x:c r="M36" s="46" t="str">
        <x:v>vietcap_fpt_20251022</x:v>
      </x:c>
      <x:c r="N36" s="46" t="str">
        <x:v>yes</x:v>
      </x:c>
      <x:c r="O36" s="2"/>
      <x:c r="P36" s="2"/>
      <x:c r="Q36" s="2"/>
      <x:c r="R36" s="2"/>
      <x:c r="S36" s="2"/>
      <x:c r="T36" s="2"/>
    </x:row>
    <x:row r="37" ht="22" hidden="0" customHeight="1">
      <x:c r="C37" s="2" t="str">
        <x:v>Global IT services</x:v>
      </x:c>
      <x:c r="D37" s="2" t="str">
        <x:v>Mphasis Ltd</x:v>
      </x:c>
      <x:c r="E37" s="2" t="str">
        <x:v>India</x:v>
      </x:c>
      <x:c r="F37" s="41" t="n">
        <x:v>45951</x:v>
      </x:c>
      <x:c r="G37" s="69" t="n">
        <x:v>5943</x:v>
      </x:c>
      <x:c r="H37" s="49" t="n">
        <x:v>0.111</x:v>
      </x:c>
      <x:c r="I37" s="49" t="n">
        <x:v>0.185</x:v>
      </x:c>
      <x:c r="J37" s="50" t="n">
        <x:v>30.6</x:v>
      </x:c>
      <x:c r="K37" s="50" t="n">
        <x:v>24.3</x:v>
      </x:c>
      <x:c r="L37" s="50" t="n">
        <x:v>5.4</x:v>
      </x:c>
      <x:c r="M37" s="46" t="str">
        <x:v>vietcap_fpt_20251022</x:v>
      </x:c>
      <x:c r="N37" s="46" t="str">
        <x:v>yes</x:v>
      </x:c>
      <x:c r="O37" s="2"/>
      <x:c r="P37" s="2"/>
      <x:c r="Q37" s="2"/>
      <x:c r="R37" s="2"/>
      <x:c r="S37" s="2"/>
      <x:c r="T37" s="2"/>
    </x:row>
    <x:row r="38" ht="22" hidden="0" customHeight="1">
      <x:c r="C38" s="2" t="str">
        <x:v>Global IT services</x:v>
      </x:c>
      <x:c r="D38" s="2" t="str">
        <x:v>Persistent Systems</x:v>
      </x:c>
      <x:c r="E38" s="2" t="str">
        <x:v>India</x:v>
      </x:c>
      <x:c r="F38" s="41" t="n">
        <x:v>45951</x:v>
      </x:c>
      <x:c r="G38" s="69" t="n">
        <x:v>10393</x:v>
      </x:c>
      <x:c r="H38" s="49" t="n">
        <x:v>0.281</x:v>
      </x:c>
      <x:c r="I38" s="49" t="n">
        <x:v>0.262</x:v>
      </x:c>
      <x:c r="J38" s="50" t="n">
        <x:v>54.4</x:v>
      </x:c>
      <x:c r="K38" s="50" t="n">
        <x:v>41.7</x:v>
      </x:c>
      <x:c r="L38" s="50" t="n">
        <x:v>12.8</x:v>
      </x:c>
      <x:c r="M38" s="46" t="str">
        <x:v>vietcap_fpt_20251022</x:v>
      </x:c>
      <x:c r="N38" s="46" t="str">
        <x:v>yes</x:v>
      </x:c>
      <x:c r="O38" s="2"/>
      <x:c r="P38" s="2"/>
      <x:c r="Q38" s="2"/>
      <x:c r="R38" s="2"/>
      <x:c r="S38" s="2"/>
      <x:c r="T38" s="2"/>
    </x:row>
    <x:row r="39" ht="22" hidden="0" customHeight="1">
      <x:c r="C39" s="2" t="str">
        <x:v>Global IT services</x:v>
      </x:c>
      <x:c r="D39" s="2" t="str">
        <x:v>Oracle Financial Services</x:v>
      </x:c>
      <x:c r="E39" s="2" t="str">
        <x:v>India</x:v>
      </x:c>
      <x:c r="F39" s="41" t="n">
        <x:v>45951</x:v>
      </x:c>
      <x:c r="G39" s="69" t="n">
        <x:v>8486</x:v>
      </x:c>
      <x:c r="H39" s="49" t="n">
        <x:v>0.063</x:v>
      </x:c>
      <x:c r="I39" s="49" t="n">
        <x:v>0.329</x:v>
      </x:c>
      <x:c r="J39" s="50" t="n">
        <x:v>31.4</x:v>
      </x:c>
      <x:c r="K39" s="50" t="n">
        <x:v>26.4</x:v>
      </x:c>
      <x:c r="L39" s="50" t="n">
        <x:v>10.1</x:v>
      </x:c>
      <x:c r="M39" s="46" t="str">
        <x:v>vietcap_fpt_20251022</x:v>
      </x:c>
      <x:c r="N39" s="46" t="str">
        <x:v>yes</x:v>
      </x:c>
      <x:c r="O39" s="2"/>
      <x:c r="P39" s="2"/>
      <x:c r="Q39" s="2"/>
      <x:c r="R39" s="2"/>
      <x:c r="S39" s="2"/>
      <x:c r="T39" s="2"/>
    </x:row>
    <x:row r="40" ht="22" hidden="0" customHeight="1">
      <x:c r="C40" s="2" t="str">
        <x:v>Global IT services</x:v>
      </x:c>
      <x:c r="D40" s="2" t="str">
        <x:v>Infosys Ltd</x:v>
      </x:c>
      <x:c r="E40" s="2" t="str">
        <x:v>India</x:v>
      </x:c>
      <x:c r="F40" s="41" t="n">
        <x:v>45951</x:v>
      </x:c>
      <x:c r="G40" s="69" t="n">
        <x:v>69002</x:v>
      </x:c>
      <x:c r="H40" s="49" t="n">
        <x:v>0.082</x:v>
      </x:c>
      <x:c r="I40" s="49" t="n">
        <x:v>0.29</x:v>
      </x:c>
      <x:c r="J40" s="50" t="n">
        <x:v>21.5</x:v>
      </x:c>
      <x:c r="K40" s="50" t="n">
        <x:v>19.6</x:v>
      </x:c>
      <x:c r="L40" s="50" t="n">
        <x:v>5.9</x:v>
      </x:c>
      <x:c r="M40" s="46" t="str">
        <x:v>vietcap_fpt_20251022</x:v>
      </x:c>
      <x:c r="N40" s="46" t="str">
        <x:v>yes</x:v>
      </x:c>
      <x:c r="O40" s="2"/>
      <x:c r="P40" s="2"/>
      <x:c r="Q40" s="2"/>
      <x:c r="R40" s="2"/>
      <x:c r="S40" s="2"/>
      <x:c r="T40" s="2"/>
    </x:row>
    <x:row r="41" ht="22" hidden="0" customHeight="1">
      <x:c r="C41" s="2" t="str">
        <x:v>Global IT services</x:v>
      </x:c>
      <x:c r="D41" s="2" t="str">
        <x:v>LTIMindtree Ltd</x:v>
      </x:c>
      <x:c r="E41" s="2" t="str">
        <x:v>India</x:v>
      </x:c>
      <x:c r="F41" s="41" t="n">
        <x:v>45951</x:v>
      </x:c>
      <x:c r="G41" s="69" t="n">
        <x:v>18860</x:v>
      </x:c>
      <x:c r="H41" s="49" t="n">
        <x:v>0.174</x:v>
      </x:c>
      <x:c r="I41" s="49" t="n">
        <x:v>0.219</x:v>
      </x:c>
      <x:c r="J41" s="50" t="n">
        <x:v>34</x:v>
      </x:c>
      <x:c r="K41" s="50" t="n">
        <x:v>27.2</x:v>
      </x:c>
      <x:c r="L41" s="50" t="n">
        <x:v>7.1</x:v>
      </x:c>
      <x:c r="M41" s="46" t="str">
        <x:v>vietcap_fpt_20251022</x:v>
      </x:c>
      <x:c r="N41" s="46" t="str">
        <x:v>yes</x:v>
      </x:c>
      <x:c r="O41" s="2"/>
      <x:c r="P41" s="2"/>
      <x:c r="Q41" s="2"/>
      <x:c r="R41" s="2"/>
      <x:c r="S41" s="2"/>
      <x:c r="T41" s="2"/>
    </x:row>
    <x:row r="42" ht="22" hidden="0" customHeight="1">
      <x:c r="C42" s="2" t="str">
        <x:v>Global IT services</x:v>
      </x:c>
      <x:c r="D42" s="2" t="str">
        <x:v>Tech Mahindra Ltd</x:v>
      </x:c>
      <x:c r="E42" s="2" t="str">
        <x:v>India</x:v>
      </x:c>
      <x:c r="F42" s="41" t="n">
        <x:v>45951</x:v>
      </x:c>
      <x:c r="G42" s="69" t="n">
        <x:v>16086</x:v>
      </x:c>
      <x:c r="H42" s="49" t="n">
        <x:v>0.225</x:v>
      </x:c>
      <x:c r="I42" s="49" t="n">
        <x:v>0.166</x:v>
      </x:c>
      <x:c r="J42" s="50" t="n">
        <x:v>27</x:v>
      </x:c>
      <x:c r="K42" s="50" t="n">
        <x:v>19.6</x:v>
      </x:c>
      <x:c r="L42" s="50" t="n">
        <x:v>4.7</x:v>
      </x:c>
      <x:c r="M42" s="46" t="str">
        <x:v>vietcap_fpt_20251022</x:v>
      </x:c>
      <x:c r="N42" s="46" t="str">
        <x:v>yes</x:v>
      </x:c>
      <x:c r="O42" s="2"/>
      <x:c r="P42" s="2"/>
      <x:c r="Q42" s="2"/>
      <x:c r="R42" s="2"/>
      <x:c r="S42" s="2"/>
      <x:c r="T42" s="2"/>
    </x:row>
    <x:row r="43" ht="22" hidden="0" customHeight="1">
      <x:c r="C43" s="2" t="str">
        <x:v>Telecom</x:v>
      </x:c>
      <x:c r="D43" s="2" t="str">
        <x:v>China Telecom-H</x:v>
      </x:c>
      <x:c r="E43" s="2" t="str">
        <x:v>China</x:v>
      </x:c>
      <x:c r="F43" s="41" t="n">
        <x:v>45951</x:v>
      </x:c>
      <x:c r="G43" s="69" t="n">
        <x:v>84988</x:v>
      </x:c>
      <x:c r="H43" s="49" t="n">
        <x:v>0.061</x:v>
      </x:c>
      <x:c r="I43" s="49" t="n">
        <x:v>0.074</x:v>
      </x:c>
      <x:c r="J43" s="50" t="n">
        <x:v>13.8</x:v>
      </x:c>
      <x:c r="K43" s="50" t="n">
        <x:v>12.8</x:v>
      </x:c>
      <x:c r="L43" s="50" t="n">
        <x:v>1</x:v>
      </x:c>
      <x:c r="M43" s="46" t="str">
        <x:v>vietcap_fpt_20251022</x:v>
      </x:c>
      <x:c r="N43" s="46" t="str">
        <x:v>yes</x:v>
      </x:c>
      <x:c r="O43" s="2"/>
      <x:c r="P43" s="2"/>
      <x:c r="Q43" s="2"/>
      <x:c r="R43" s="2"/>
      <x:c r="S43" s="2"/>
      <x:c r="T43" s="2"/>
    </x:row>
    <x:row r="44" ht="22" hidden="0" customHeight="1">
      <x:c r="C44" s="2" t="str">
        <x:v>Telecom</x:v>
      </x:c>
      <x:c r="D44" s="2" t="str">
        <x:v>Singapore Telecom</x:v>
      </x:c>
      <x:c r="E44" s="2" t="str">
        <x:v>Singapore</x:v>
      </x:c>
      <x:c r="F44" s="41" t="n">
        <x:v>45951</x:v>
      </x:c>
      <x:c r="G44" s="69" t="n">
        <x:v>54877</x:v>
      </x:c>
      <x:c r="H44" s="49" t="n">
        <x:v>0.187</x:v>
      </x:c>
      <x:c r="I44" s="49" t="n">
        <x:v>0.165</x:v>
      </x:c>
      <x:c r="J44" s="50" t="n">
        <x:v>17.7</x:v>
      </x:c>
      <x:c r="K44" s="50" t="n">
        <x:v>21.3</x:v>
      </x:c>
      <x:c r="L44" s="50" t="n">
        <x:v>2.9</x:v>
      </x:c>
      <x:c r="M44" s="46" t="str">
        <x:v>vietcap_fpt_20251022</x:v>
      </x:c>
      <x:c r="N44" s="46" t="str">
        <x:v>yes</x:v>
      </x:c>
      <x:c r="O44" s="2"/>
      <x:c r="P44" s="2"/>
      <x:c r="Q44" s="2"/>
      <x:c r="R44" s="2"/>
      <x:c r="S44" s="2"/>
      <x:c r="T44" s="2"/>
    </x:row>
    <x:row r="45" ht="22" hidden="0" customHeight="1">
      <x:c r="C45" s="2" t="str">
        <x:v>Telecom</x:v>
      </x:c>
      <x:c r="D45" s="2" t="str">
        <x:v>Telkom Indonesia</x:v>
      </x:c>
      <x:c r="E45" s="2" t="str">
        <x:v>Indonesia</x:v>
      </x:c>
      <x:c r="F45" s="41" t="n">
        <x:v>45951</x:v>
      </x:c>
      <x:c r="G45" s="69" t="n">
        <x:v>17758</x:v>
      </x:c>
      <x:c r="H45" s="49" t="n">
        <x:v>-0.034</x:v>
      </x:c>
      <x:c r="I45" s="49" t="n">
        <x:v>0.174</x:v>
      </x:c>
      <x:c r="J45" s="50" t="n">
        <x:v>12.9</x:v>
      </x:c>
      <x:c r="K45" s="50" t="n">
        <x:v>12.4</x:v>
      </x:c>
      <x:c r="L45" s="50" t="n">
        <x:v>2.2</x:v>
      </x:c>
      <x:c r="M45" s="46" t="str">
        <x:v>vietcap_fpt_20251022</x:v>
      </x:c>
      <x:c r="N45" s="46" t="str">
        <x:v>yes</x:v>
      </x:c>
      <x:c r="O45" s="2"/>
      <x:c r="P45" s="2"/>
      <x:c r="Q45" s="2"/>
      <x:c r="R45" s="2"/>
      <x:c r="S45" s="2"/>
      <x:c r="T45" s="2"/>
    </x:row>
    <x:row r="46" ht="22" hidden="0" customHeight="1">
      <x:c r="C46" s="2" t="str">
        <x:v>Telecom</x:v>
      </x:c>
      <x:c r="D46" s="2" t="str">
        <x:v>PLDT Inc</x:v>
      </x:c>
      <x:c r="E46" s="2" t="str">
        <x:v>Philippines</x:v>
      </x:c>
      <x:c r="F46" s="41" t="n">
        <x:v>45951</x:v>
      </x:c>
      <x:c r="G46" s="69" t="n">
        <x:v>4071</x:v>
      </x:c>
      <x:c r="H46" s="49" t="n">
        <x:v>0.019</x:v>
      </x:c>
      <x:c r="I46" s="49" t="n">
        <x:v>0.271</x:v>
      </x:c>
      <x:c r="J46" s="50" t="n">
        <x:v>7.4</x:v>
      </x:c>
      <x:c r="K46" s="50" t="n">
        <x:v>6.4</x:v>
      </x:c>
      <x:c r="L46" s="50" t="n">
        <x:v>1.9</x:v>
      </x:c>
      <x:c r="M46" s="46" t="str">
        <x:v>vietcap_fpt_20251022</x:v>
      </x:c>
      <x:c r="N46" s="46" t="str">
        <x:v>yes</x:v>
      </x:c>
      <x:c r="O46" s="2"/>
      <x:c r="P46" s="2"/>
      <x:c r="Q46" s="2"/>
      <x:c r="R46" s="2"/>
      <x:c r="S46" s="2"/>
      <x:c r="T46" s="2"/>
    </x:row>
    <x:row r="47" ht="22" hidden="0" customHeight="1">
      <x:c r="C47" s="2" t="str">
        <x:v>Telecom</x:v>
      </x:c>
      <x:c r="D47" s="2" t="str">
        <x:v>Telekom Malaysia</x:v>
      </x:c>
      <x:c r="E47" s="2" t="str">
        <x:v>Malaysia</x:v>
      </x:c>
      <x:c r="F47" s="41" t="n">
        <x:v>45951</x:v>
      </x:c>
      <x:c r="G47" s="69" t="n">
        <x:v>6496</x:v>
      </x:c>
      <x:c r="H47" s="49" t="n">
        <x:v>-0.156</x:v>
      </x:c>
      <x:c r="I47" s="49" t="n">
        <x:v>0.204</x:v>
      </x:c>
      <x:c r="J47" s="50" t="n">
        <x:v>13.7</x:v>
      </x:c>
      <x:c r="K47" s="50" t="n">
        <x:v>15.5</x:v>
      </x:c>
      <x:c r="L47" s="50" t="n">
        <x:v>2.7</x:v>
      </x:c>
      <x:c r="M47" s="46" t="str">
        <x:v>vietcap_fpt_20251022</x:v>
      </x:c>
      <x:c r="N47" s="46" t="str">
        <x:v>yes</x:v>
      </x:c>
      <x:c r="O47" s="2"/>
      <x:c r="P47" s="2"/>
      <x:c r="Q47" s="2"/>
      <x:c r="R47" s="2"/>
      <x:c r="S47" s="2"/>
      <x:c r="T47" s="2"/>
    </x:row>
    <x:row r="48" ht="22" hidden="0" customHeight="1">
      <x:c r="C48" s="2" t="str">
        <x:v>Telecom</x:v>
      </x:c>
      <x:c r="D48" s="2" t="str">
        <x:v>Beijing Sinnet</x:v>
      </x:c>
      <x:c r="E48" s="2" t="str">
        <x:v>China</x:v>
      </x:c>
      <x:c r="F48" s="41" t="n">
        <x:v>45951</x:v>
      </x:c>
      <x:c r="G48" s="69" t="n">
        <x:v>3396</x:v>
      </x:c>
      <x:c r="H48" s="49" t="n">
        <x:v>-0.01</x:v>
      </x:c>
      <x:c r="I48" s="49" t="n">
        <x:v>0.018</x:v>
      </x:c>
      <x:c r="J48" s="50" t="n">
        <x:v>104.4</x:v>
      </x:c>
      <x:c r="K48" s="50" t="n">
        <x:v>53.7</x:v>
      </x:c>
      <x:c r="L48" s="50" t="n">
        <x:v>1.9</x:v>
      </x:c>
      <x:c r="M48" s="46" t="str">
        <x:v>vietcap_fpt_20251022</x:v>
      </x:c>
      <x:c r="N48" s="46" t="str">
        <x:v>yes</x:v>
      </x:c>
      <x:c r="O48" s="2"/>
      <x:c r="P48" s="2"/>
      <x:c r="Q48" s="2"/>
      <x:c r="R48" s="2"/>
      <x:c r="S48" s="2"/>
      <x:c r="T48" s="2"/>
    </x:row>
    <x:row r="49" ht="22" hidden="0" customHeight="1">
      <x:c r="C49" s="2" t="str">
        <x:v>Telecom</x:v>
      </x:c>
      <x:c r="D49" s="2" t="str">
        <x:v>Time dotCom Bhd</x:v>
      </x:c>
      <x:c r="E49" s="2" t="str">
        <x:v>Malaysia</x:v>
      </x:c>
      <x:c r="F49" s="41" t="n">
        <x:v>45951</x:v>
      </x:c>
      <x:c r="G49" s="69" t="n">
        <x:v>2136</x:v>
      </x:c>
      <x:c r="H49" s="49" t="n">
        <x:v>0.251</x:v>
      </x:c>
      <x:c r="I49" s="49" t="n">
        <x:v>0.105</x:v>
      </x:c>
      <x:c r="J49" s="50" t="n">
        <x:v>23.1</x:v>
      </x:c>
      <x:c r="K49" s="50" t="n">
        <x:v>17.5</x:v>
      </x:c>
      <x:c r="L49" s="50" t="n">
        <x:v>2.7</x:v>
      </x:c>
      <x:c r="M49" s="46" t="str">
        <x:v>vietcap_fpt_20251022</x:v>
      </x:c>
      <x:c r="N49" s="46" t="str">
        <x:v>yes</x:v>
      </x:c>
      <x:c r="O49" s="2"/>
      <x:c r="P49" s="2"/>
      <x:c r="Q49" s="2"/>
      <x:c r="R49" s="2"/>
      <x:c r="S49" s="2"/>
      <x:c r="T49" s="2"/>
    </x:row>
    <x:row r="50" ht="22" hidden="0" customHeight="1">
      <x:c r="C50" s="2" t="str">
        <x:v>Telecom</x:v>
      </x:c>
      <x:c r="D50" s="2" t="str">
        <x:v>Jasmine International</x:v>
      </x:c>
      <x:c r="E50" s="2" t="str">
        <x:v>Thailand</x:v>
      </x:c>
      <x:c r="F50" s="41" t="n">
        <x:v>45951</x:v>
      </x:c>
      <x:c r="G50" s="69" t="n">
        <x:v>369</x:v>
      </x:c>
      <x:c r="H50" s="49" t="n">
        <x:v>-0.833</x:v>
      </x:c>
      <x:c r="I50" s="49" t="n">
        <x:v>0.042</x:v>
      </x:c>
      <x:c r="J50" s="50" t="n">
        <x:v>28.7</x:v>
      </x:c>
      <x:c r="K50" s="50" t="n">
        <x:v>145</x:v>
      </x:c>
      <x:c r="L50" s="50" t="n">
        <x:v>1.3</x:v>
      </x:c>
      <x:c r="M50" s="46" t="str">
        <x:v>vietcap_fpt_20251022</x:v>
      </x:c>
      <x:c r="N50" s="46" t="str">
        <x:v>yes</x:v>
      </x:c>
      <x:c r="O50" s="2"/>
      <x:c r="P50" s="2"/>
      <x:c r="Q50" s="2"/>
      <x:c r="R50" s="2"/>
      <x:c r="S50" s="2"/>
      <x:c r="T50" s="2"/>
    </x:row>
    <x:row r="51" ht="22" hidden="0" customHeight="1">
      <x:c r="C51" s="2" t="str">
        <x:v>Telecom</x:v>
      </x:c>
      <x:c r="D51" s="2" t="str">
        <x:v>Kazakhtelecom</x:v>
      </x:c>
      <x:c r="E51" s="2" t="str">
        <x:v>Kazakhstan</x:v>
      </x:c>
      <x:c r="F51" s="41" t="n">
        <x:v>45951</x:v>
      </x:c>
      <x:c r="G51" s="69" t="n">
        <x:v>798</x:v>
      </x:c>
      <x:c r="H51" s="49"/>
      <x:c r="I51" s="49" t="n">
        <x:v>0.285</x:v>
      </x:c>
      <x:c r="J51" s="50" t="n">
        <x:v>3</x:v>
      </x:c>
      <x:c r="K51" s="50"/>
      <x:c r="L51" s="50" t="n">
        <x:v>0.7</x:v>
      </x:c>
      <x:c r="M51" s="46" t="str">
        <x:v>vietcap_fpt_20251022</x:v>
      </x:c>
      <x:c r="N51" s="46" t="str">
        <x:v>yes</x:v>
      </x:c>
      <x:c r="O51" s="2"/>
      <x:c r="P51" s="2"/>
      <x:c r="Q51" s="2"/>
      <x:c r="R51" s="2"/>
      <x:c r="S51" s="2"/>
      <x:c r="T51" s="2"/>
    </x:row>
    <x:row r="52" ht="22" hidden="0" customHeight="1">
      <x:c r="C52" s="2" t="str">
        <x:v>Education</x:v>
      </x:c>
      <x:c r="D52" s="2" t="str">
        <x:v>New Oriental</x:v>
      </x:c>
      <x:c r="E52" s="2" t="str">
        <x:v>China</x:v>
      </x:c>
      <x:c r="F52" s="41" t="n">
        <x:v>45881</x:v>
      </x:c>
      <x:c r="G52" s="69" t="n">
        <x:v>7457</x:v>
      </x:c>
      <x:c r="H52" s="49" t="n">
        <x:v>0.055</x:v>
      </x:c>
      <x:c r="I52" s="49" t="n">
        <x:v>0.1</x:v>
      </x:c>
      <x:c r="J52" s="50" t="n">
        <x:v>16.6</x:v>
      </x:c>
      <x:c r="K52" s="50" t="n">
        <x:v>13.6</x:v>
      </x:c>
      <x:c r="L52" s="50" t="n">
        <x:v>2</x:v>
      </x:c>
      <x:c r="M52" s="46" t="str">
        <x:v>vietcap_fpt_20250814</x:v>
      </x:c>
      <x:c r="N52" s="46" t="str">
        <x:v>yes</x:v>
      </x:c>
      <x:c r="O52" s="2"/>
      <x:c r="P52" s="2"/>
      <x:c r="Q52" s="2"/>
      <x:c r="R52" s="2"/>
      <x:c r="S52" s="2"/>
      <x:c r="T52" s="2"/>
    </x:row>
    <x:row r="53" ht="22" hidden="0" customHeight="1">
      <x:c r="C53" s="2" t="str">
        <x:v>Education</x:v>
      </x:c>
      <x:c r="D53" s="2" t="str">
        <x:v>TAL Education</x:v>
      </x:c>
      <x:c r="E53" s="2" t="str">
        <x:v>China</x:v>
      </x:c>
      <x:c r="F53" s="41" t="n">
        <x:v>45881</x:v>
      </x:c>
      <x:c r="G53" s="69" t="n">
        <x:v>6758</x:v>
      </x:c>
      <x:c r="H53" s="49" t="n">
        <x:v>0.808</x:v>
      </x:c>
      <x:c r="I53" s="49" t="n">
        <x:v>0.029</x:v>
      </x:c>
      <x:c r="J53" s="50" t="n">
        <x:v>20.1</x:v>
      </x:c>
      <x:c r="K53" s="50" t="n">
        <x:v>25.5</x:v>
      </x:c>
      <x:c r="L53" s="50" t="n">
        <x:v>1.6</x:v>
      </x:c>
      <x:c r="M53" s="46" t="str">
        <x:v>vietcap_fpt_20250814</x:v>
      </x:c>
      <x:c r="N53" s="46" t="str">
        <x:v>yes</x:v>
      </x:c>
      <x:c r="O53" s="2"/>
      <x:c r="P53" s="2"/>
      <x:c r="Q53" s="2"/>
      <x:c r="R53" s="2"/>
      <x:c r="S53" s="2"/>
      <x:c r="T53" s="2"/>
    </x:row>
    <x:row r="54" ht="22" hidden="0" customHeight="1">
      <x:c r="C54" s="2" t="str">
        <x:v>Education</x:v>
      </x:c>
      <x:c r="D54" s="2" t="str">
        <x:v>China Education</x:v>
      </x:c>
      <x:c r="E54" s="2" t="str">
        <x:v>China</x:v>
      </x:c>
      <x:c r="F54" s="41" t="n">
        <x:v>45881</x:v>
      </x:c>
      <x:c r="G54" s="69" t="n">
        <x:v>1002</x:v>
      </x:c>
      <x:c r="H54" s="49" t="n">
        <x:v>-0.06</x:v>
      </x:c>
      <x:c r="I54" s="49" t="n">
        <x:v>0.019</x:v>
      </x:c>
      <x:c r="J54" s="50" t="n">
        <x:v>23.8</x:v>
      </x:c>
      <x:c r="K54" s="50" t="n">
        <x:v>3.6</x:v>
      </x:c>
      <x:c r="L54" s="50" t="n">
        <x:v>0.4</x:v>
      </x:c>
      <x:c r="M54" s="46" t="str">
        <x:v>vietcap_fpt_20250814</x:v>
      </x:c>
      <x:c r="N54" s="46" t="str">
        <x:v>yes</x:v>
      </x:c>
      <x:c r="O54" s="2"/>
      <x:c r="P54" s="2"/>
      <x:c r="Q54" s="2"/>
      <x:c r="R54" s="2"/>
      <x:c r="S54" s="2"/>
      <x:c r="T54" s="2"/>
    </x:row>
    <x:row r="55" ht="22" hidden="0" customHeight="1">
      <x:c r="C55" s="2" t="str">
        <x:v>Education</x:v>
      </x:c>
      <x:c r="D55" s="2" t="str">
        <x:v>Tianli International</x:v>
      </x:c>
      <x:c r="E55" s="2" t="str">
        <x:v>China</x:v>
      </x:c>
      <x:c r="F55" s="41" t="n">
        <x:v>45881</x:v>
      </x:c>
      <x:c r="G55" s="69" t="n">
        <x:v>1153</x:v>
      </x:c>
      <x:c r="H55" s="49"/>
      <x:c r="I55" s="49" t="n">
        <x:v>0.272</x:v>
      </x:c>
      <x:c r="J55" s="50" t="n">
        <x:v>12</x:v>
      </x:c>
      <x:c r="K55" s="50"/>
      <x:c r="L55" s="50" t="n">
        <x:v>3</x:v>
      </x:c>
      <x:c r="M55" s="46" t="str">
        <x:v>vietcap_fpt_20250814</x:v>
      </x:c>
      <x:c r="N55" s="46" t="str">
        <x:v>yes</x:v>
      </x:c>
      <x:c r="O55" s="2"/>
      <x:c r="P55" s="2"/>
      <x:c r="Q55" s="2"/>
      <x:c r="R55" s="2"/>
      <x:c r="S55" s="2"/>
      <x:c r="T55" s="2"/>
    </x:row>
    <x:row r="56" ht="22" hidden="0" customHeight="1">
      <x:c r="C56" s="2" t="str">
        <x:v>Education</x:v>
      </x:c>
      <x:c r="D56" s="2" t="str">
        <x:v>China East Education</x:v>
      </x:c>
      <x:c r="E56" s="2" t="str">
        <x:v>China</x:v>
      </x:c>
      <x:c r="F56" s="41" t="n">
        <x:v>45881</x:v>
      </x:c>
      <x:c r="G56" s="69" t="n">
        <x:v>2488</x:v>
      </x:c>
      <x:c r="H56" s="49" t="n">
        <x:v>0.223</x:v>
      </x:c>
      <x:c r="I56" s="49" t="n">
        <x:v>0.09</x:v>
      </x:c>
      <x:c r="J56" s="50" t="n">
        <x:v>34.4</x:v>
      </x:c>
      <x:c r="K56" s="50" t="n">
        <x:v>27.5</x:v>
      </x:c>
      <x:c r="L56" s="50" t="n">
        <x:v>3.1</x:v>
      </x:c>
      <x:c r="M56" s="46" t="str">
        <x:v>vietcap_fpt_20250814</x:v>
      </x:c>
      <x:c r="N56" s="46" t="str">
        <x:v>yes</x:v>
      </x:c>
      <x:c r="O56" s="2"/>
      <x:c r="P56" s="2"/>
      <x:c r="Q56" s="2"/>
      <x:c r="R56" s="2"/>
      <x:c r="S56" s="2"/>
      <x:c r="T56" s="2"/>
    </x:row>
    <x:row r="57" ht="22" hidden="0" customHeight="1">
      <x:c r="C57" s="2" t="str">
        <x:v>Education</x:v>
      </x:c>
      <x:c r="D57" s="2" t="str">
        <x:v>Shanghai Action</x:v>
      </x:c>
      <x:c r="E57" s="2" t="str">
        <x:v>China</x:v>
      </x:c>
      <x:c r="F57" s="41" t="n">
        <x:v>45881</x:v>
      </x:c>
      <x:c r="G57" s="69" t="n">
        <x:v>615</x:v>
      </x:c>
      <x:c r="H57" s="49" t="n">
        <x:v>0.123</x:v>
      </x:c>
      <x:c r="I57" s="49" t="n">
        <x:v>0.266</x:v>
      </x:c>
      <x:c r="J57" s="50" t="n">
        <x:v>16.7</x:v>
      </x:c>
      <x:c r="K57" s="50" t="n">
        <x:v>14.5</x:v>
      </x:c>
      <x:c r="L57" s="50" t="n">
        <x:v>4.4</x:v>
      </x:c>
      <x:c r="M57" s="46" t="str">
        <x:v>vietcap_fpt_20250814</x:v>
      </x:c>
      <x:c r="N57" s="46" t="str">
        <x:v>yes</x:v>
      </x:c>
      <x:c r="O57" s="2"/>
      <x:c r="P57" s="2"/>
      <x:c r="Q57" s="2"/>
      <x:c r="R57" s="2"/>
      <x:c r="S57" s="2"/>
      <x:c r="T57" s="2"/>
    </x:row>
    <x:row r="58" ht="22" hidden="0" customHeight="1">
      <x:c r="C58" s="2" t="str">
        <x:v>Education</x:v>
      </x:c>
      <x:c r="D58" s="2" t="str">
        <x:v>XueDa XiaMen</x:v>
      </x:c>
      <x:c r="E58" s="2" t="str">
        <x:v>China</x:v>
      </x:c>
      <x:c r="F58" s="41" t="n">
        <x:v>45881</x:v>
      </x:c>
      <x:c r="G58" s="69" t="n">
        <x:v>913</x:v>
      </x:c>
      <x:c r="H58" s="49" t="n">
        <x:v>0.382</x:v>
      </x:c>
      <x:c r="I58" s="49" t="n">
        <x:v>0.269</x:v>
      </x:c>
      <x:c r="J58" s="50" t="n">
        <x:v>31.3</x:v>
      </x:c>
      <x:c r="K58" s="50" t="n">
        <x:v>25.6</x:v>
      </x:c>
      <x:c r="L58" s="50" t="n">
        <x:v>7.7</x:v>
      </x:c>
      <x:c r="M58" s="46" t="str">
        <x:v>vietcap_fpt_20250814</x:v>
      </x:c>
      <x:c r="N58" s="46" t="str">
        <x:v>yes</x:v>
      </x:c>
      <x:c r="O58" s="2"/>
      <x:c r="P58" s="2"/>
      <x:c r="Q58" s="2"/>
      <x:c r="R58" s="2"/>
      <x:c r="S58" s="2"/>
      <x:c r="T58" s="2"/>
    </x:row>
    <x:row r="59" ht="22" hidden="0" customHeight="1">
      <x:c r="C59" s="2" t="str">
        <x:v>Education</x:v>
      </x:c>
      <x:c r="D59" s="2" t="str">
        <x:v>SISB</x:v>
      </x:c>
      <x:c r="E59" s="2" t="str">
        <x:v>Thailand</x:v>
      </x:c>
      <x:c r="F59" s="41" t="n">
        <x:v>45881</x:v>
      </x:c>
      <x:c r="G59" s="69" t="n">
        <x:v>446</x:v>
      </x:c>
      <x:c r="H59" s="49" t="n">
        <x:v>0.102</x:v>
      </x:c>
      <x:c r="I59" s="49" t="n">
        <x:v>0.275</x:v>
      </x:c>
      <x:c r="J59" s="50" t="n">
        <x:v>16</x:v>
      </x:c>
      <x:c r="K59" s="50" t="n">
        <x:v>14.9</x:v>
      </x:c>
      <x:c r="L59" s="50" t="n">
        <x:v>4</x:v>
      </x:c>
      <x:c r="M59" s="46" t="str">
        <x:v>vietcap_fpt_20250814</x:v>
      </x:c>
      <x:c r="N59" s="46" t="str">
        <x:v>yes</x:v>
      </x:c>
      <x:c r="O59" s="2"/>
      <x:c r="P59" s="2"/>
      <x:c r="Q59" s="2"/>
      <x:c r="R59" s="2"/>
      <x:c r="S59" s="2"/>
      <x:c r="T59" s="2"/>
    </x:row>
    <x:row r="60" ht="22" hidden="0" customHeight="1">
      <x:c r="C60" s="2" t="str">
        <x:v>Education</x:v>
      </x:c>
      <x:c r="D60" s="2" t="str">
        <x:v>Riso Kyoiku</x:v>
      </x:c>
      <x:c r="E60" s="2" t="str">
        <x:v>Japan</x:v>
      </x:c>
      <x:c r="F60" s="41" t="n">
        <x:v>45881</x:v>
      </x:c>
      <x:c r="G60" s="69" t="n">
        <x:v>255</x:v>
      </x:c>
      <x:c r="H60" s="49" t="n">
        <x:v>0.064</x:v>
      </x:c>
      <x:c r="I60" s="49" t="n">
        <x:v>0.156</x:v>
      </x:c>
      <x:c r="J60" s="50" t="n">
        <x:v>23.9</x:v>
      </x:c>
      <x:c r="K60" s="50" t="n">
        <x:v>19.3</x:v>
      </x:c>
      <x:c r="L60" s="50" t="n">
        <x:v>3.8</x:v>
      </x:c>
      <x:c r="M60" s="46" t="str">
        <x:v>vietcap_fpt_20250814</x:v>
      </x:c>
      <x:c r="N60" s="46" t="str">
        <x:v>yes</x:v>
      </x:c>
      <x:c r="O60" s="2"/>
      <x:c r="P60" s="2"/>
      <x:c r="Q60" s="2"/>
      <x:c r="R60" s="2"/>
      <x:c r="S60" s="2"/>
      <x:c r="T60" s="2"/>
    </x:row>
    <x:row r="61">
      <x:c r="C61" s="2"/>
      <x:c r="D61" s="2"/>
      <x:c r="E61" s="2"/>
      <x:c r="F61" s="2"/>
      <x:c r="G61" s="2"/>
      <x:c r="H61" s="2"/>
      <x:c r="I61" s="2"/>
      <x:c r="J61" s="2"/>
      <x:c r="K61" s="2"/>
      <x:c r="L61" s="2"/>
      <x:c r="M61" s="2"/>
      <x:c r="N61" s="2"/>
      <x:c r="O61" s="2"/>
      <x:c r="P61" s="2"/>
      <x:c r="Q61" s="2"/>
      <x:c r="R61" s="2"/>
      <x:c r="S61" s="2"/>
      <x:c r="T61" s="2"/>
    </x:row>
    <x:row r="62">
      <x:c r="C62" s="2"/>
      <x:c r="D62" s="2"/>
      <x:c r="E62" s="2"/>
      <x:c r="F62" s="2"/>
      <x:c r="G62" s="2"/>
      <x:c r="H62" s="2"/>
      <x:c r="I62" s="2"/>
      <x:c r="J62" s="2"/>
      <x:c r="K62" s="2"/>
      <x:c r="L62" s="2"/>
      <x:c r="M62" s="2"/>
      <x:c r="N62" s="2"/>
      <x:c r="O62" s="2"/>
      <x:c r="P62" s="2"/>
      <x:c r="Q62" s="2"/>
      <x:c r="R62" s="2"/>
      <x:c r="S62" s="2"/>
      <x:c r="T62" s="2"/>
    </x:row>
    <x:row r="63" ht="30" customHeight="1">
      <x:c r="C63" s="93" t="str">
        <x:v>Method note: the model uses medians, not averages, so the telecom outliers remain visible without controlling the result. The education peer set is dated 12-Aug-2025 because the 22-Oct-2025 Vietcap table did not publish an education block. All dates remain within Clock A.</x:v>
      </x:c>
      <x:c r="D63" s="93"/>
      <x:c r="E63" s="93"/>
      <x:c r="F63" s="93"/>
      <x:c r="G63" s="93"/>
      <x:c r="H63" s="93"/>
      <x:c r="I63" s="93"/>
      <x:c r="J63" s="93"/>
      <x:c r="K63" s="93"/>
      <x:c r="L63" s="93"/>
      <x:c r="M63" s="93"/>
      <x:c r="N63" s="93"/>
      <x:c r="O63" s="2"/>
      <x:c r="P63" s="2"/>
      <x:c r="Q63" s="2"/>
      <x:c r="R63" s="2"/>
      <x:c r="S63" s="2"/>
      <x:c r="T63" s="2"/>
    </x:row>
    <x:row r="64" ht="30" customHeight="1">
      <x:c r="C64" s="93"/>
      <x:c r="D64" s="93"/>
      <x:c r="E64" s="93"/>
      <x:c r="F64" s="93"/>
      <x:c r="G64" s="93"/>
      <x:c r="H64" s="93"/>
      <x:c r="I64" s="93"/>
      <x:c r="J64" s="93"/>
      <x:c r="K64" s="93"/>
      <x:c r="L64" s="93"/>
      <x:c r="M64" s="93"/>
      <x:c r="N64" s="93"/>
      <x:c r="O64" s="2"/>
      <x:c r="P64" s="2"/>
      <x:c r="Q64" s="2"/>
      <x:c r="R64" s="2"/>
      <x:c r="S64" s="2"/>
      <x:c r="T64" s="2"/>
    </x:row>
    <x:row r="65">
      <x:c r="C65" s="2"/>
      <x:c r="D65" s="2"/>
      <x:c r="E65" s="2"/>
      <x:c r="F65" s="2"/>
      <x:c r="G65" s="2"/>
      <x:c r="H65" s="2"/>
      <x:c r="I65" s="2"/>
      <x:c r="J65" s="2"/>
      <x:c r="K65" s="2"/>
      <x:c r="L65" s="2"/>
      <x:c r="M65" s="2"/>
      <x:c r="N65" s="2"/>
      <x:c r="O65" s="2"/>
      <x:c r="P65" s="2"/>
      <x:c r="Q65" s="2"/>
      <x:c r="R65" s="2"/>
      <x:c r="S65" s="2"/>
      <x:c r="T65" s="2"/>
    </x:row>
    <x:row r="66">
      <x:c r="C66" s="2"/>
      <x:c r="D66" s="2"/>
      <x:c r="E66" s="2"/>
      <x:c r="F66" s="2"/>
      <x:c r="G66" s="2"/>
      <x:c r="H66" s="2"/>
      <x:c r="I66" s="2"/>
      <x:c r="J66" s="2"/>
      <x:c r="K66" s="2"/>
      <x:c r="L66" s="2"/>
      <x:c r="M66" s="2"/>
      <x:c r="N66" s="2"/>
      <x:c r="O66" s="2"/>
      <x:c r="P66" s="2"/>
      <x:c r="Q66" s="2"/>
      <x:c r="R66" s="2"/>
      <x:c r="S66" s="2"/>
      <x:c r="T66" s="2"/>
    </x:row>
  </x:sheetData>
  <x:mergeCells>
    <x:mergeCell ref="C29:N29"/>
    <x:mergeCell ref="C63:N63"/>
    <x:mergeCell ref="C64:N64"/>
  </x:mergeCells>
  <x:pageMargins left="0.7" right="0.7" top="0.75" bottom="0.75" header="0.3" footer="0.3"/>
  <x:drawing xmlns:r="http://schemas.openxmlformats.org/officeDocument/2006/relationships" r:id="R1445e7d69f6742b9"/>
</x:worksheet>
</file>

<file path=xl/worksheets/sheet5.xml><?xml version="1.0" encoding="utf-8"?>
<x:worksheet xmlns:x="http://schemas.openxmlformats.org/spreadsheetml/2006/main">
  <x:sheetPr>
    <x:tabColor rgb="FF17365D"/>
  </x:sheetPr>
  <x:sheetViews>
    <x:sheetView showGridLines="0" workbookViewId="0">
      <x:pane xSplit="3" ySplit="32" topLeftCell="D33" activePane="bottomRight" state="frozen"/>
    </x:sheetView>
  </x:sheetViews>
  <x:sheetFormatPr defaultRowHeight="15"/>
  <x:cols>
    <x:col min="1" max="1" width="3" hidden="0" customWidth="1"/>
    <x:col min="2" max="2" width="3" hidden="0" customWidth="1"/>
    <x:col min="3" max="3" width="43" hidden="0" customWidth="1"/>
    <x:col min="4" max="4" width="18" hidden="0" customWidth="1"/>
    <x:col min="5" max="5" width="18" hidden="0" customWidth="1"/>
    <x:col min="6" max="6" width="62" hidden="0" customWidth="1"/>
    <x:col min="7" max="7" width="17" hidden="0" customWidth="1"/>
    <x:col min="8" max="8" width="28" hidden="0" customWidth="1"/>
    <x:col min="9" max="9" width="17" hidden="0" customWidth="1"/>
    <x:col min="10" max="10" width="16" hidden="0" customWidth="1"/>
    <x:col min="11" max="11" width="16" hidden="0" customWidth="1"/>
    <x:col min="12" max="12" width="30" hidden="0" customWidth="1"/>
    <x:col min="13" max="13" width="13" hidden="0" customWidth="1"/>
    <x:col min="14" max="14" width="13" hidden="0" customWidth="1"/>
    <x:col min="15" max="15" width="13" hidden="0" customWidth="1"/>
    <x:col min="16" max="16" width="13" hidden="0" customWidth="1"/>
  </x:cols>
  <x:sheetData>
    <x:row r="2" ht="18" hidden="0" customHeight="1">
      <x:c r="C2" s="3" t="str">
        <x:v>FPT historical valuation context</x:v>
      </x:c>
      <x:c r="D2" s="2"/>
      <x:c r="E2" s="2"/>
      <x:c r="F2" s="2"/>
      <x:c r="G2" s="2"/>
      <x:c r="H2" s="2"/>
      <x:c r="I2" s="2"/>
      <x:c r="J2" s="2"/>
      <x:c r="K2" s="2"/>
      <x:c r="L2" s="2"/>
      <x:c r="M2" s="2"/>
      <x:c r="N2" s="2"/>
      <x:c r="O2" s="2"/>
      <x:c r="P2" s="2"/>
    </x:row>
    <x:row r="3" ht="15" hidden="0" customHeight="1">
      <x:c r="C3" s="4" t="str">
        <x:v>Diagnostic P/E benchmarks and month-end prices rebased to the 31-Oct-2025 share basis. Historical bands are not given a separate valuation weight.</x:v>
      </x:c>
      <x:c r="D3" s="2"/>
      <x:c r="E3" s="2"/>
      <x:c r="F3" s="2"/>
      <x:c r="G3" s="2"/>
      <x:c r="H3" s="2"/>
      <x:c r="I3" s="2"/>
      <x:c r="J3" s="2"/>
      <x:c r="K3" s="2"/>
      <x:c r="L3" s="2"/>
      <x:c r="M3" s="2"/>
      <x:c r="N3" s="2"/>
      <x:c r="O3" s="2"/>
      <x:c r="P3" s="2"/>
    </x:row>
    <x:row r="4" ht="15" hidden="0" customHeight="1">
      <x:c r="C4" s="5"/>
      <x:c r="D4" s="5"/>
      <x:c r="E4" s="5"/>
      <x:c r="F4" s="5"/>
      <x:c r="G4" s="5"/>
      <x:c r="H4" s="5"/>
      <x:c r="I4" s="5"/>
      <x:c r="J4" s="5"/>
      <x:c r="K4" s="5"/>
      <x:c r="L4" s="5"/>
      <x:c r="M4" s="5"/>
      <x:c r="N4" s="5"/>
      <x:c r="O4" s="5"/>
      <x:c r="P4" s="5"/>
      <x:c r="Q4" s="6"/>
    </x:row>
    <x:row r="5" ht="15" hidden="0" customHeight="1">
      <x:c r="C5" s="21" t="str">
        <x:v>Multiple context</x:v>
      </x:c>
      <x:c r="D5" s="22" t="str">
        <x:v>Unit</x:v>
      </x:c>
      <x:c r="E5" s="22" t="str">
        <x:v>Value</x:v>
      </x:c>
      <x:c r="F5" s="23" t="str">
        <x:v>Interpretation</x:v>
      </x:c>
      <x:c r="G5" s="2"/>
      <x:c r="H5" s="21" t="str">
        <x:v>P/E reference</x:v>
      </x:c>
      <x:c r="I5" s="22" t="str">
        <x:v>Implied price</x:v>
      </x:c>
      <x:c r="J5" s="22" t="str">
        <x:v>Multiple</x:v>
      </x:c>
      <x:c r="K5" s="22" t="str">
        <x:v>Upside / (downside)</x:v>
      </x:c>
      <x:c r="L5" s="23" t="str">
        <x:v>Role</x:v>
      </x:c>
      <x:c r="M5" s="2"/>
      <x:c r="N5" s="2"/>
      <x:c r="O5" s="2"/>
      <x:c r="P5" s="2"/>
    </x:row>
    <x:row r="6" ht="28" hidden="0" customHeight="1">
      <x:c r="C6" s="2" t="str">
        <x:v>Market price</x:v>
      </x:c>
      <x:c r="D6" s="2" t="str">
        <x:v>VND / share</x:v>
      </x:c>
      <x:c r="E6" s="69" t="n">
        <x:f>'Valuation'!E47</x:f>
        <x:v>102830</x:v>
      </x:c>
      <x:c r="F6" s="47" t="str">
        <x:v>Model's point-in-time market-price source</x:v>
      </x:c>
      <x:c r="G6" s="2"/>
      <x:c r="H6" s="2" t="str">
        <x:v>SHS long-run mean</x:v>
      </x:c>
      <x:c r="I6" s="69" t="n">
        <x:f>J6*$E$7</x:f>
        <x:v>84011.67178045573</x:v>
      </x:c>
      <x:c r="J6" s="50" t="n">
        <x:f>$E$11</x:f>
        <x:v>14.5</x:v>
      </x:c>
      <x:c r="K6" s="49" t="n">
        <x:f>I6/$E$6-1</x:f>
        <x:v>-0.18300426159237837</x:v>
      </x:c>
      <x:c r="L6" s="2" t="str">
        <x:v>Long-run diagnostic</x:v>
      </x:c>
      <x:c r="M6" s="2"/>
      <x:c r="N6" s="2"/>
      <x:c r="O6" s="2"/>
      <x:c r="P6" s="2"/>
    </x:row>
    <x:row r="7" ht="28" hidden="0" customHeight="1">
      <x:c r="C7" s="2" t="str">
        <x:v>FY2026E model EPS</x:v>
      </x:c>
      <x:c r="D7" s="2" t="str">
        <x:v>VND / share</x:v>
      </x:c>
      <x:c r="E7" s="69" t="n">
        <x:f>'Comparable Valuation'!E25</x:f>
        <x:v>5793.908398652119</x:v>
      </x:c>
      <x:c r="F7" s="47" t="str">
        <x:v>Selected-case parent earnings; not consensus</x:v>
      </x:c>
      <x:c r="G7" s="2"/>
      <x:c r="H7" s="2" t="str">
        <x:v>Vietcap observed 2026F</x:v>
      </x:c>
      <x:c r="I7" s="69" t="n">
        <x:f>J7*$E$7</x:f>
        <x:v>98496.44277708602</x:v>
      </x:c>
      <x:c r="J7" s="50" t="n">
        <x:f>'Assumptions'!E79</x:f>
        <x:v>17</x:v>
      </x:c>
      <x:c r="K7" s="49" t="n">
        <x:f>I7/$E$6-1</x:f>
        <x:v>-0.042142927384167805</x:v>
      </x:c>
      <x:c r="L7" s="2" t="str">
        <x:v>Observed pre-cutoff market reference</x:v>
      </x:c>
      <x:c r="M7" s="2"/>
      <x:c r="N7" s="2"/>
      <x:c r="O7" s="2"/>
      <x:c r="P7" s="2"/>
    </x:row>
    <x:row r="8" ht="28" hidden="0" customHeight="1">
      <x:c r="C8" s="70" t="str">
        <x:v>Current implied 2026F P/E</x:v>
      </x:c>
      <x:c r="D8" s="70" t="str">
        <x:v>x</x:v>
      </x:c>
      <x:c r="E8" s="94" t="n">
        <x:f>E6/E7</x:f>
        <x:v>17.747950593061177</x:v>
      </x:c>
      <x:c r="F8" s="95" t="str">
        <x:v>Market price divided by the same FY2026E EPS used for the comparable method</x:v>
      </x:c>
      <x:c r="G8" s="2"/>
      <x:c r="H8" s="100" t="str">
        <x:v>Current market implied</x:v>
      </x:c>
      <x:c r="I8" s="101" t="n">
        <x:f>J8*$E$7</x:f>
        <x:v>102830.00000000001</x:v>
      </x:c>
      <x:c r="J8" s="102" t="n">
        <x:f>$E$8</x:f>
        <x:v>17.747950593061177</x:v>
      </x:c>
      <x:c r="K8" s="103" t="n">
        <x:f>I8/$E$6-1</x:f>
        <x:v>2.220446049250313e-16</x:v>
      </x:c>
      <x:c r="L8" s="100" t="str">
        <x:v>Current market</x:v>
      </x:c>
      <x:c r="M8" s="2"/>
      <x:c r="N8" s="2"/>
      <x:c r="O8" s="2"/>
      <x:c r="P8" s="2"/>
    </x:row>
    <x:row r="9" ht="28" hidden="0" customHeight="1">
      <x:c r="C9" s="70" t="str">
        <x:v>Applied comparable P/E</x:v>
      </x:c>
      <x:c r="D9" s="70" t="str">
        <x:v>x</x:v>
      </x:c>
      <x:c r="E9" s="94" t="n">
        <x:f>'Comparable Valuation'!E12</x:f>
        <x:v>20.151222746331232</x:v>
      </x:c>
      <x:c r="F9" s="95" t="str">
        <x:v>Segment-mix peer median after the disclosed 5% adjustment</x:v>
      </x:c>
      <x:c r="G9" s="2"/>
      <x:c r="H9" s="2" t="str">
        <x:v>SHS long-run +1σ</x:v>
      </x:c>
      <x:c r="I9" s="69" t="n">
        <x:f>J9*$E$7</x:f>
        <x:v>115878.16797304238</x:v>
      </x:c>
      <x:c r="J9" s="50" t="n">
        <x:f>$E$13</x:f>
        <x:v>20</x:v>
      </x:c>
      <x:c r="K9" s="49" t="n">
        <x:f>I9/$E$6-1</x:f>
        <x:v>0.12689067366568496</x:v>
      </x:c>
      <x:c r="L9" s="2" t="str">
        <x:v>Long-run upper-normal boundary</x:v>
      </x:c>
      <x:c r="M9" s="2"/>
      <x:c r="N9" s="2"/>
      <x:c r="O9" s="2"/>
      <x:c r="P9" s="2"/>
    </x:row>
    <x:row r="10" ht="28" hidden="0" customHeight="1">
      <x:c r="C10" s="70" t="str">
        <x:v>Vietcap three-year average TTM P/E</x:v>
      </x:c>
      <x:c r="D10" s="70" t="str">
        <x:v>x</x:v>
      </x:c>
      <x:c r="E10" s="94" t="n">
        <x:f>20.7</x:f>
        <x:v>20.7</x:v>
      </x:c>
      <x:c r="F10" s="95" t="str">
        <x:v>Exact three-year TTM average reported by Vietcap at 21-Oct-2025</x:v>
      </x:c>
      <x:c r="G10" s="2"/>
      <x:c r="H10" s="25" t="str">
        <x:v>Applied comparable</x:v>
      </x:c>
      <x:c r="I10" s="76" t="n">
        <x:f>J10*$E$7</x:f>
        <x:v>116754.33871307815</x:v>
      </x:c>
      <x:c r="J10" s="88" t="n">
        <x:f>$E$9</x:f>
        <x:v>20.151222746331232</x:v>
      </x:c>
      <x:c r="K10" s="87" t="n">
        <x:f>I10/$E$6-1</x:f>
        <x:v>0.13541124879002386</x:v>
      </x:c>
      <x:c r="L10" s="25" t="str">
        <x:v>Model cross-check</x:v>
      </x:c>
      <x:c r="M10" s="2"/>
      <x:c r="N10" s="2"/>
      <x:c r="O10" s="2"/>
      <x:c r="P10" s="2"/>
    </x:row>
    <x:row r="11" ht="28" hidden="0" customHeight="1">
      <x:c r="C11" s="2" t="str">
        <x:v>SHS long-run average P/E (approx.)</x:v>
      </x:c>
      <x:c r="D11" s="2" t="str">
        <x:v>x</x:v>
      </x:c>
      <x:c r="E11" s="50" t="n">
        <x:f>14.5</x:f>
        <x:v>14.5</x:v>
      </x:c>
      <x:c r="F11" s="47" t="str">
        <x:v>Chart-read benchmark from SHS / FiinProX, Jan-2014 to Jan-2025; approximate</x:v>
      </x:c>
      <x:c r="G11" s="2"/>
      <x:c r="H11" s="2" t="str">
        <x:v>Vietcap three-year average</x:v>
      </x:c>
      <x:c r="I11" s="69" t="n">
        <x:f>J11*$E$7</x:f>
        <x:v>119933.90385209885</x:v>
      </x:c>
      <x:c r="J11" s="50" t="n">
        <x:f>$E$10</x:f>
        <x:v>20.7</x:v>
      </x:c>
      <x:c r="K11" s="49" t="n">
        <x:f>I11/$E$6-1</x:f>
        <x:v>0.16633184724398387</x:v>
      </x:c>
      <x:c r="L11" s="2" t="str">
        <x:v>Recent-regime diagnostic</x:v>
      </x:c>
      <x:c r="M11" s="2"/>
      <x:c r="N11" s="2"/>
      <x:c r="O11" s="2"/>
      <x:c r="P11" s="2"/>
    </x:row>
    <x:row r="12" ht="28" hidden="0" customHeight="1">
      <x:c r="C12" s="2" t="str">
        <x:v>SHS long-run -1 standard deviation (approx.)</x:v>
      </x:c>
      <x:c r="D12" s="2" t="str">
        <x:v>x</x:v>
      </x:c>
      <x:c r="E12" s="50" t="n">
        <x:f>9.0</x:f>
        <x:v>9</x:v>
      </x:c>
      <x:c r="F12" s="47" t="str">
        <x:v>Chart-read benchmark; approximate and not used as a price target</x:v>
      </x:c>
      <x:c r="G12" s="2"/>
      <x:c r="H12" s="2" t="str">
        <x:v>SHS long-run +2σ</x:v>
      </x:c>
      <x:c r="I12" s="69" t="n">
        <x:f>J12*$E$7</x:f>
        <x:v>147744.66416562904</x:v>
      </x:c>
      <x:c r="J12" s="50" t="n">
        <x:f>$E$15</x:f>
        <x:v>25.5</x:v>
      </x:c>
      <x:c r="K12" s="49" t="n">
        <x:f>I12/$E$6-1</x:f>
        <x:v>0.4367856089237483</x:v>
      </x:c>
      <x:c r="L12" s="2" t="str">
        <x:v>Long-run extreme boundary</x:v>
      </x:c>
      <x:c r="M12" s="2"/>
      <x:c r="N12" s="2"/>
      <x:c r="O12" s="2"/>
      <x:c r="P12" s="2"/>
    </x:row>
    <x:row r="13" ht="28" hidden="0" customHeight="1">
      <x:c r="C13" s="2" t="str">
        <x:v>SHS long-run +1 standard deviation (approx.)</x:v>
      </x:c>
      <x:c r="D13" s="2" t="str">
        <x:v>x</x:v>
      </x:c>
      <x:c r="E13" s="50" t="n">
        <x:f>20.0</x:f>
        <x:v>20</x:v>
      </x:c>
      <x:c r="F13" s="47" t="str">
        <x:v>Chart-read benchmark; approximate and close to the recent-regime average</x:v>
      </x:c>
      <x:c r="G13" s="2"/>
      <x:c r="H13" s="2"/>
      <x:c r="I13" s="2"/>
      <x:c r="J13" s="2"/>
      <x:c r="K13" s="2"/>
      <x:c r="L13" s="2"/>
      <x:c r="M13" s="2"/>
      <x:c r="N13" s="2"/>
      <x:c r="O13" s="2"/>
      <x:c r="P13" s="2"/>
    </x:row>
    <x:row r="14" ht="28" hidden="0" customHeight="1">
      <x:c r="C14" s="2" t="str">
        <x:v>SHS long-run -2 standard deviations (approx.)</x:v>
      </x:c>
      <x:c r="D14" s="2" t="str">
        <x:v>x</x:v>
      </x:c>
      <x:c r="E14" s="50" t="n">
        <x:f>3.5</x:f>
        <x:v>3.5</x:v>
      </x:c>
      <x:c r="F14" s="47" t="str">
        <x:v>Chart-read benchmark; approximate and not used as a price target</x:v>
      </x:c>
      <x:c r="G14" s="2"/>
      <x:c r="H14" s="2"/>
      <x:c r="I14" s="2"/>
      <x:c r="J14" s="2"/>
      <x:c r="K14" s="2"/>
      <x:c r="L14" s="2"/>
      <x:c r="M14" s="2"/>
      <x:c r="N14" s="2"/>
      <x:c r="O14" s="2"/>
      <x:c r="P14" s="2"/>
    </x:row>
    <x:row r="15" ht="28" hidden="0" customHeight="1">
      <x:c r="C15" s="2" t="str">
        <x:v>SHS long-run +2 standard deviations (approx.)</x:v>
      </x:c>
      <x:c r="D15" s="2" t="str">
        <x:v>x</x:v>
      </x:c>
      <x:c r="E15" s="50" t="n">
        <x:f>25.5</x:f>
        <x:v>25.5</x:v>
      </x:c>
      <x:c r="F15" s="47" t="str">
        <x:v>Chart-read benchmark; approximate and not used as a price target</x:v>
      </x:c>
      <x:c r="G15" s="2"/>
      <x:c r="H15" s="2"/>
      <x:c r="I15" s="2"/>
      <x:c r="J15" s="2"/>
      <x:c r="K15" s="2"/>
      <x:c r="L15" s="2"/>
      <x:c r="M15" s="2"/>
      <x:c r="N15" s="2"/>
      <x:c r="O15" s="2"/>
      <x:c r="P15" s="2"/>
    </x:row>
    <x:row r="16" ht="15" hidden="0" customHeight="1">
      <x:c r="C16" s="2"/>
      <x:c r="D16" s="2"/>
      <x:c r="E16" s="2"/>
      <x:c r="F16" s="2"/>
      <x:c r="G16" s="2"/>
      <x:c r="H16" s="2"/>
      <x:c r="I16" s="2"/>
      <x:c r="J16" s="2"/>
      <x:c r="K16" s="2"/>
      <x:c r="L16" s="2"/>
      <x:c r="M16" s="2"/>
      <x:c r="N16" s="2"/>
      <x:c r="O16" s="2"/>
      <x:c r="P16" s="2"/>
    </x:row>
    <x:row r="17" ht="15" hidden="0" customHeight="1">
      <x:c r="C17" s="2"/>
      <x:c r="D17" s="2"/>
      <x:c r="E17" s="2"/>
      <x:c r="F17" s="2"/>
      <x:c r="G17" s="2"/>
      <x:c r="H17" s="2"/>
      <x:c r="I17" s="2"/>
      <x:c r="J17" s="2"/>
      <x:c r="K17" s="2"/>
      <x:c r="L17" s="2"/>
      <x:c r="M17" s="2"/>
      <x:c r="N17" s="2"/>
      <x:c r="O17" s="2"/>
      <x:c r="P17" s="2"/>
    </x:row>
    <x:row r="18" ht="15" hidden="0" customHeight="1">
      <x:c r="C18" s="21" t="str">
        <x:v>Price-history control</x:v>
      </x:c>
      <x:c r="D18" s="22" t="str">
        <x:v>Unit</x:v>
      </x:c>
      <x:c r="E18" s="22" t="str">
        <x:v>Value</x:v>
      </x:c>
      <x:c r="F18" s="23" t="str">
        <x:v>Treatment</x:v>
      </x:c>
      <x:c r="G18" s="2"/>
      <x:c r="H18" s="2"/>
      <x:c r="I18" s="2"/>
      <x:c r="J18" s="2"/>
      <x:c r="K18" s="2"/>
      <x:c r="L18" s="2"/>
      <x:c r="M18" s="2"/>
      <x:c r="N18" s="2"/>
      <x:c r="O18" s="2"/>
      <x:c r="P18" s="2"/>
    </x:row>
    <x:row r="19" ht="28" hidden="0" customHeight="1">
      <x:c r="C19" s="2" t="str">
        <x:v>History start</x:v>
      </x:c>
      <x:c r="D19" s="2" t="str">
        <x:v>Date</x:v>
      </x:c>
      <x:c r="E19" s="41" t="n">
        <x:f>MIN(C33:C102)</x:f>
        <x:v>43861</x:v>
      </x:c>
      <x:c r="F19" s="47" t="str">
        <x:v>First month-end in the reproducible public sample</x:v>
      </x:c>
      <x:c r="G19" s="2"/>
      <x:c r="H19" s="2"/>
      <x:c r="I19" s="2"/>
      <x:c r="J19" s="2"/>
      <x:c r="K19" s="2"/>
      <x:c r="L19" s="2"/>
      <x:c r="M19" s="2"/>
      <x:c r="N19" s="2"/>
      <x:c r="O19" s="2"/>
      <x:c r="P19" s="2"/>
    </x:row>
    <x:row r="20" ht="28" hidden="0" customHeight="1">
      <x:c r="C20" s="2" t="str">
        <x:v>History end</x:v>
      </x:c>
      <x:c r="D20" s="2" t="str">
        <x:v>Date</x:v>
      </x:c>
      <x:c r="E20" s="41" t="n">
        <x:f>MAX(C33:C102)</x:f>
        <x:v>45961</x:v>
      </x:c>
      <x:c r="F20" s="47" t="str">
        <x:v>Clock A valuation date</x:v>
      </x:c>
      <x:c r="G20" s="2"/>
      <x:c r="H20" s="2"/>
      <x:c r="I20" s="2"/>
      <x:c r="J20" s="2"/>
      <x:c r="K20" s="2"/>
      <x:c r="L20" s="2"/>
      <x:c r="M20" s="2"/>
      <x:c r="N20" s="2"/>
      <x:c r="O20" s="2"/>
      <x:c r="P20" s="2"/>
    </x:row>
    <x:row r="21" ht="28" hidden="0" customHeight="1">
      <x:c r="C21" s="2" t="str">
        <x:v>Month-end observations</x:v>
      </x:c>
      <x:c r="D21" s="2" t="str">
        <x:v>count</x:v>
      </x:c>
      <x:c r="E21" s="104" t="n">
        <x:f>COUNT(C33:C102)</x:f>
        <x:v>70</x:v>
      </x:c>
      <x:c r="F21" s="47" t="str">
        <x:v>One observation per trading month</x:v>
      </x:c>
      <x:c r="G21" s="2"/>
      <x:c r="H21" s="2"/>
      <x:c r="I21" s="2"/>
      <x:c r="J21" s="2"/>
      <x:c r="K21" s="2"/>
      <x:c r="L21" s="2"/>
      <x:c r="M21" s="2"/>
      <x:c r="N21" s="2"/>
      <x:c r="O21" s="2"/>
      <x:c r="P21" s="2"/>
    </x:row>
    <x:row r="22" ht="28" hidden="0" customHeight="1">
      <x:c r="C22" s="2" t="str">
        <x:v>Cutoff raw close from API</x:v>
      </x:c>
      <x:c r="D22" s="2" t="str">
        <x:v>VND / share</x:v>
      </x:c>
      <x:c r="E22" s="69" t="n">
        <x:f>E102</x:f>
        <x:v>103900</x:v>
      </x:c>
      <x:c r="F22" s="47" t="str">
        <x:v>VNDirect Finfo daily-price endpoint; 31-Oct-2025</x:v>
      </x:c>
      <x:c r="G22" s="2"/>
      <x:c r="H22" s="2"/>
      <x:c r="I22" s="2"/>
      <x:c r="J22" s="2"/>
      <x:c r="K22" s="2"/>
      <x:c r="L22" s="2"/>
      <x:c r="M22" s="2"/>
      <x:c r="N22" s="2"/>
      <x:c r="O22" s="2"/>
      <x:c r="P22" s="2"/>
    </x:row>
    <x:row r="23" ht="28" hidden="0" customHeight="1">
      <x:c r="C23" s="2" t="str">
        <x:v>Provider adjusted close as currently served</x:v>
      </x:c>
      <x:c r="D23" s="2" t="str">
        <x:v>VND / share</x:v>
      </x:c>
      <x:c r="E23" s="69" t="n">
        <x:f>F102</x:f>
        <x:v>92211</x:v>
      </x:c>
      <x:c r="F23" s="47" t="str">
        <x:v>Includes provider adjustments occurring after Clock A</x:v>
      </x:c>
      <x:c r="G23" s="2"/>
      <x:c r="H23" s="2"/>
      <x:c r="I23" s="2"/>
      <x:c r="J23" s="2"/>
      <x:c r="K23" s="2"/>
      <x:c r="L23" s="2"/>
      <x:c r="M23" s="2"/>
      <x:c r="N23" s="2"/>
      <x:c r="O23" s="2"/>
      <x:c r="P23" s="2"/>
    </x:row>
    <x:row r="24" ht="28" hidden="0" customHeight="1">
      <x:c r="C24" s="2" t="str">
        <x:v>Cutoff rebase factor</x:v>
      </x:c>
      <x:c r="D24" s="2" t="str">
        <x:v>x</x:v>
      </x:c>
      <x:c r="E24" s="105" t="n">
        <x:f>E22/E23</x:f>
        <x:v>1.1267636182234224</x:v>
      </x:c>
      <x:c r="F24" s="47" t="str">
        <x:v>Raw cutoff close divided by current provider-adjusted cutoff close</x:v>
      </x:c>
      <x:c r="G24" s="2"/>
      <x:c r="H24" s="2"/>
      <x:c r="I24" s="2"/>
      <x:c r="J24" s="2"/>
      <x:c r="K24" s="2"/>
      <x:c r="L24" s="2"/>
      <x:c r="M24" s="2"/>
      <x:c r="N24" s="2"/>
      <x:c r="O24" s="2"/>
      <x:c r="P24" s="2"/>
    </x:row>
    <x:row r="25" ht="28" hidden="0" customHeight="1">
      <x:c r="C25" s="2" t="str">
        <x:v>Cutoff-rebased close</x:v>
      </x:c>
      <x:c r="D25" s="2" t="str">
        <x:v>VND / share</x:v>
      </x:c>
      <x:c r="E25" s="106" t="n">
        <x:f>D102</x:f>
        <x:v>103900</x:v>
      </x:c>
      <x:c r="F25" s="47" t="str">
        <x:v>Adjusted history multiplied by the cutoff rebase factor</x:v>
      </x:c>
      <x:c r="G25" s="2"/>
      <x:c r="H25" s="2"/>
      <x:c r="I25" s="2"/>
      <x:c r="J25" s="2"/>
      <x:c r="K25" s="2"/>
      <x:c r="L25" s="2"/>
      <x:c r="M25" s="2"/>
      <x:c r="N25" s="2"/>
      <x:c r="O25" s="2"/>
      <x:c r="P25" s="2"/>
    </x:row>
    <x:row r="26" ht="28" hidden="0" customHeight="1">
      <x:c r="C26" s="2" t="str">
        <x:v>Rebase reconciliation difference</x:v>
      </x:c>
      <x:c r="D26" s="2" t="str">
        <x:v>VND / share</x:v>
      </x:c>
      <x:c r="E26" s="106" t="n">
        <x:f>E25-E22</x:f>
        <x:v>0</x:v>
      </x:c>
      <x:c r="F26" s="47" t="str">
        <x:v>Must equal zero</x:v>
      </x:c>
      <x:c r="G26" s="2"/>
      <x:c r="H26" s="2"/>
      <x:c r="I26" s="2"/>
      <x:c r="J26" s="2"/>
      <x:c r="K26" s="2"/>
      <x:c r="L26" s="2"/>
      <x:c r="M26" s="2"/>
      <x:c r="N26" s="2"/>
      <x:c r="O26" s="2"/>
      <x:c r="P26" s="2"/>
    </x:row>
    <x:row r="27" ht="28" hidden="0" customHeight="1">
      <x:c r="C27" s="2" t="str">
        <x:v>Model price less API raw close</x:v>
      </x:c>
      <x:c r="D27" s="2" t="str">
        <x:v>VND / share</x:v>
      </x:c>
      <x:c r="E27" s="106" t="n">
        <x:f>'Valuation'!E47-E22</x:f>
        <x:v>-1070</x:v>
      </x:c>
      <x:c r="F27" s="47" t="str">
        <x:v>Separate price sources differ by about 1%; model price remains the established Clock A input</x:v>
      </x:c>
      <x:c r="G27" s="2"/>
      <x:c r="H27" s="2"/>
      <x:c r="I27" s="2"/>
      <x:c r="J27" s="2"/>
      <x:c r="K27" s="2"/>
      <x:c r="L27" s="2"/>
      <x:c r="M27" s="2"/>
      <x:c r="N27" s="2"/>
      <x:c r="O27" s="2"/>
      <x:c r="P27" s="2"/>
    </x:row>
    <x:row r="28" ht="28" hidden="0" customHeight="1">
      <x:c r="C28" s="2" t="str">
        <x:v>Use in valuation</x:v>
      </x:c>
      <x:c r="D28" s="2" t="str">
        <x:v>classification</x:v>
      </x:c>
      <x:c r="E28" s="2" t="n">
        <x:f>0</x:f>
        <x:v>0</x:v>
      </x:c>
      <x:c r="F28" s="47" t="str">
        <x:v>Zero weight: context and reasonableness check only, avoiding double-counting P/E evidence</x:v>
      </x:c>
      <x:c r="G28" s="2"/>
      <x:c r="H28" s="2"/>
      <x:c r="I28" s="2"/>
      <x:c r="J28" s="2"/>
      <x:c r="K28" s="2"/>
      <x:c r="L28" s="2"/>
      <x:c r="M28" s="2"/>
      <x:c r="N28" s="2"/>
      <x:c r="O28" s="2"/>
      <x:c r="P28" s="2"/>
    </x:row>
    <x:row r="29" ht="15" hidden="0" customHeight="1">
      <x:c r="C29" s="2"/>
      <x:c r="D29" s="2"/>
      <x:c r="E29" s="2"/>
      <x:c r="F29" s="2"/>
      <x:c r="G29" s="2"/>
      <x:c r="H29" s="2"/>
      <x:c r="I29" s="2"/>
      <x:c r="J29" s="2"/>
      <x:c r="K29" s="2"/>
      <x:c r="L29" s="2"/>
      <x:c r="M29" s="2"/>
      <x:c r="N29" s="2"/>
      <x:c r="O29" s="2"/>
      <x:c r="P29" s="2"/>
    </x:row>
    <x:row r="30" ht="15" hidden="0" customHeight="1">
      <x:c r="C30" s="2"/>
      <x:c r="D30" s="2"/>
      <x:c r="E30" s="2"/>
      <x:c r="F30" s="2"/>
      <x:c r="G30" s="2"/>
      <x:c r="H30" s="2"/>
      <x:c r="I30" s="2"/>
      <x:c r="J30" s="2"/>
      <x:c r="K30" s="2"/>
      <x:c r="L30" s="2"/>
      <x:c r="M30" s="2"/>
      <x:c r="N30" s="2"/>
      <x:c r="O30" s="2"/>
      <x:c r="P30" s="2"/>
    </x:row>
    <x:row r="31" ht="15" hidden="0" customHeight="1">
      <x:c r="C31" s="2"/>
      <x:c r="D31" s="2"/>
      <x:c r="E31" s="2"/>
      <x:c r="F31" s="2"/>
      <x:c r="G31" s="2"/>
      <x:c r="H31" s="2"/>
      <x:c r="I31" s="2"/>
      <x:c r="J31" s="2"/>
      <x:c r="K31" s="2"/>
      <x:c r="L31" s="2"/>
      <x:c r="M31" s="2"/>
      <x:c r="N31" s="2"/>
      <x:c r="O31" s="2"/>
      <x:c r="P31" s="2"/>
    </x:row>
    <x:row r="32" ht="15" hidden="0" customHeight="1">
      <x:c r="C32" s="21" t="str">
        <x:v>Month end</x:v>
      </x:c>
      <x:c r="D32" s="22" t="str">
        <x:v>Cutoff-rebased close</x:v>
      </x:c>
      <x:c r="E32" s="22" t="str">
        <x:v>Raw close</x:v>
      </x:c>
      <x:c r="F32" s="22" t="str">
        <x:v>Provider adjusted close</x:v>
      </x:c>
      <x:c r="G32" s="23" t="str">
        <x:v>Rebased price index</x:v>
      </x:c>
      <x:c r="H32" s="2"/>
      <x:c r="I32" s="2"/>
      <x:c r="J32" s="2"/>
      <x:c r="K32" s="2"/>
      <x:c r="L32" s="2"/>
      <x:c r="M32" s="2"/>
      <x:c r="N32" s="2"/>
      <x:c r="O32" s="2"/>
      <x:c r="P32" s="2"/>
    </x:row>
    <x:row r="33" ht="15" hidden="0" customHeight="1">
      <x:c r="C33" s="107" t="n">
        <x:v>43861</x:v>
      </x:c>
      <x:c r="D33" s="69" t="n">
        <x:f>F33*$E$24</x:f>
        <x:v>18982.586676209998</x:v>
      </x:c>
      <x:c r="E33" s="45" t="n">
        <x:v>52000</x:v>
      </x:c>
      <x:c r="F33" s="45" t="n">
        <x:v>16847</x:v>
      </x:c>
      <x:c r="G33" s="108" t="n">
        <x:f>D33/$D$33*100</x:f>
        <x:v>100</x:v>
      </x:c>
      <x:c r="H33" s="2"/>
      <x:c r="I33" s="2"/>
      <x:c r="J33" s="2"/>
      <x:c r="K33" s="2"/>
      <x:c r="L33" s="2"/>
      <x:c r="M33" s="2"/>
      <x:c r="N33" s="2"/>
      <x:c r="O33" s="2"/>
      <x:c r="P33" s="2"/>
    </x:row>
    <x:row r="34" ht="15" hidden="0" customHeight="1">
      <x:c r="C34" s="107" t="n">
        <x:v>43889</x:v>
      </x:c>
      <x:c r="D34" s="69" t="n">
        <x:f>F34*$E$24</x:f>
        <x:v>20113.857348906313</x:v>
      </x:c>
      <x:c r="E34" s="45" t="n">
        <x:v>55100</x:v>
      </x:c>
      <x:c r="F34" s="45" t="n">
        <x:v>17851</x:v>
      </x:c>
      <x:c r="G34" s="108" t="n">
        <x:f>D34/$D$33*100</x:f>
        <x:v>105.95951801507685</x:v>
      </x:c>
      <x:c r="H34" s="2"/>
      <x:c r="I34" s="2"/>
      <x:c r="J34" s="2"/>
      <x:c r="K34" s="2"/>
      <x:c r="L34" s="2"/>
      <x:c r="M34" s="2"/>
      <x:c r="N34" s="2"/>
      <x:c r="O34" s="2"/>
      <x:c r="P34" s="2"/>
    </x:row>
    <x:row r="35" ht="15" hidden="0" customHeight="1">
      <x:c r="C35" s="107" t="n">
        <x:v>43921</x:v>
      </x:c>
      <x:c r="D35" s="69" t="n">
        <x:f>F35*$E$24</x:f>
        <x:v>15003.984340263092</x:v>
      </x:c>
      <x:c r="E35" s="45" t="n">
        <x:v>41100</x:v>
      </x:c>
      <x:c r="F35" s="45" t="n">
        <x:v>13316</x:v>
      </x:c>
      <x:c r="G35" s="108" t="n">
        <x:f>D35/$D$33*100</x:f>
        <x:v>79.04077877366889</x:v>
      </x:c>
      <x:c r="H35" s="2"/>
      <x:c r="I35" s="2"/>
      <x:c r="J35" s="2"/>
      <x:c r="K35" s="2"/>
      <x:c r="L35" s="2"/>
      <x:c r="M35" s="2"/>
      <x:c r="N35" s="2"/>
      <x:c r="O35" s="2"/>
      <x:c r="P35" s="2"/>
    </x:row>
    <x:row r="36" ht="15" hidden="0" customHeight="1">
      <x:c r="C36" s="107" t="n">
        <x:v>43950</x:v>
      </x:c>
      <x:c r="D36" s="69" t="n">
        <x:f>F36*$E$24</x:f>
        <x:v>18544.275628721087</x:v>
      </x:c>
      <x:c r="E36" s="45" t="n">
        <x:v>50800</x:v>
      </x:c>
      <x:c r="F36" s="45" t="n">
        <x:v>16458</x:v>
      </x:c>
      <x:c r="G36" s="108" t="n">
        <x:f>D36/$D$33*100</x:f>
        <x:v>97.6909835579035</x:v>
      </x:c>
      <x:c r="H36" s="2"/>
      <x:c r="I36" s="2"/>
      <x:c r="J36" s="2"/>
      <x:c r="K36" s="2"/>
      <x:c r="L36" s="2"/>
      <x:c r="M36" s="2"/>
      <x:c r="N36" s="2"/>
      <x:c r="O36" s="2"/>
      <x:c r="P36" s="2"/>
    </x:row>
    <x:row r="37" ht="15" hidden="0" customHeight="1">
      <x:c r="C37" s="107" t="n">
        <x:v>43980</x:v>
      </x:c>
      <x:c r="D37" s="69" t="n">
        <x:f>F37*$E$24</x:f>
        <x:v>20505.971088048063</x:v>
      </x:c>
      <x:c r="E37" s="45" t="n">
        <x:v>47950</x:v>
      </x:c>
      <x:c r="F37" s="45" t="n">
        <x:v>18199</x:v>
      </x:c>
      <x:c r="G37" s="108" t="n">
        <x:f>D37/$D$33*100</x:f>
        <x:v>108.02516768564135</x:v>
      </x:c>
      <x:c r="H37" s="2"/>
      <x:c r="I37" s="2"/>
      <x:c r="J37" s="2"/>
      <x:c r="K37" s="2"/>
      <x:c r="L37" s="2"/>
      <x:c r="M37" s="2"/>
      <x:c r="N37" s="2"/>
      <x:c r="O37" s="2"/>
      <x:c r="P37" s="2"/>
    </x:row>
    <x:row r="38" ht="15" hidden="0" customHeight="1">
      <x:c r="C38" s="107" t="n">
        <x:v>44012</x:v>
      </x:c>
      <x:c r="D38" s="69" t="n">
        <x:f>F38*$E$24</x:f>
        <x:v>19522.306449339016</x:v>
      </x:c>
      <x:c r="E38" s="45" t="n">
        <x:v>45650</x:v>
      </x:c>
      <x:c r="F38" s="45" t="n">
        <x:v>17326</x:v>
      </x:c>
      <x:c r="G38" s="108" t="n">
        <x:f>D38/$D$33*100</x:f>
        <x:v>102.84323618448387</x:v>
      </x:c>
      <x:c r="H38" s="2"/>
      <x:c r="I38" s="2"/>
      <x:c r="J38" s="2"/>
      <x:c r="K38" s="2"/>
      <x:c r="L38" s="2"/>
      <x:c r="M38" s="2"/>
      <x:c r="N38" s="2"/>
      <x:c r="O38" s="2"/>
      <x:c r="P38" s="2"/>
    </x:row>
    <x:row r="39" ht="15" hidden="0" customHeight="1">
      <x:c r="C39" s="107" t="n">
        <x:v>44043</x:v>
      </x:c>
      <x:c r="D39" s="69" t="n">
        <x:f>F39*$E$24</x:f>
        <x:v>19031.037511793606</x:v>
      </x:c>
      <x:c r="E39" s="45" t="n">
        <x:v>44500</x:v>
      </x:c>
      <x:c r="F39" s="45" t="n">
        <x:v>16890</x:v>
      </x:c>
      <x:c r="G39" s="108" t="n">
        <x:f>D39/$D$33*100</x:f>
        <x:v>100.25523832136285</x:v>
      </x:c>
      <x:c r="H39" s="2"/>
      <x:c r="I39" s="2"/>
      <x:c r="J39" s="2"/>
      <x:c r="K39" s="2"/>
      <x:c r="L39" s="2"/>
      <x:c r="M39" s="2"/>
      <x:c r="N39" s="2"/>
      <x:c r="O39" s="2"/>
      <x:c r="P39" s="2"/>
    </x:row>
    <x:row r="40" ht="15" hidden="0" customHeight="1">
      <x:c r="C40" s="107" t="n">
        <x:v>44074</x:v>
      </x:c>
      <x:c r="D40" s="69" t="n">
        <x:f>F40*$E$24</x:f>
        <x:v>21620.34030647103</x:v>
      </x:c>
      <x:c r="E40" s="45" t="n">
        <x:v>49500</x:v>
      </x:c>
      <x:c r="F40" s="45" t="n">
        <x:v>19188</x:v>
      </x:c>
      <x:c r="G40" s="108" t="n">
        <x:f>D40/$D$33*100</x:f>
        <x:v>113.895649076987</x:v>
      </x:c>
      <x:c r="H40" s="2"/>
      <x:c r="I40" s="2"/>
      <x:c r="J40" s="2"/>
      <x:c r="K40" s="2"/>
      <x:c r="L40" s="2"/>
      <x:c r="M40" s="2"/>
      <x:c r="N40" s="2"/>
      <x:c r="O40" s="2"/>
      <x:c r="P40" s="2"/>
    </x:row>
    <x:row r="41" ht="15" hidden="0" customHeight="1">
      <x:c r="C41" s="107" t="n">
        <x:v>44104</x:v>
      </x:c>
      <x:c r="D41" s="69" t="n">
        <x:f>F41*$E$24</x:f>
        <x:v>21838.932448406373</x:v>
      </x:c>
      <x:c r="E41" s="45" t="n">
        <x:v>50000</x:v>
      </x:c>
      <x:c r="F41" s="45" t="n">
        <x:v>19382</x:v>
      </x:c>
      <x:c r="G41" s="108" t="n">
        <x:f>D41/$D$33*100</x:f>
        <x:v>115.04718941057754</x:v>
      </x:c>
      <x:c r="H41" s="2"/>
      <x:c r="I41" s="2"/>
      <x:c r="J41" s="2"/>
      <x:c r="K41" s="2"/>
      <x:c r="L41" s="2"/>
      <x:c r="M41" s="2"/>
      <x:c r="N41" s="2"/>
      <x:c r="O41" s="2"/>
      <x:c r="P41" s="2"/>
    </x:row>
    <x:row r="42" ht="15" hidden="0" customHeight="1">
      <x:c r="C42" s="107" t="n">
        <x:v>44134</x:v>
      </x:c>
      <x:c r="D42" s="69" t="n">
        <x:f>F42*$E$24</x:f>
        <x:v>22494.708874212403</x:v>
      </x:c>
      <x:c r="E42" s="45" t="n">
        <x:v>51500</x:v>
      </x:c>
      <x:c r="F42" s="45" t="n">
        <x:v>19964</x:v>
      </x:c>
      <x:c r="G42" s="108" t="n">
        <x:f>D42/$D$33*100</x:f>
        <x:v>118.5018104113492</x:v>
      </x:c>
      <x:c r="H42" s="2"/>
      <x:c r="I42" s="2"/>
      <x:c r="J42" s="2"/>
      <x:c r="K42" s="2"/>
      <x:c r="L42" s="2"/>
      <x:c r="M42" s="2"/>
      <x:c r="N42" s="2"/>
      <x:c r="O42" s="2"/>
      <x:c r="P42" s="2"/>
    </x:row>
    <x:row r="43" ht="15" hidden="0" customHeight="1">
      <x:c r="C43" s="107" t="n">
        <x:v>44165</x:v>
      </x:c>
      <x:c r="D43" s="69" t="n">
        <x:f>F43*$E$24</x:f>
        <x:v>24198.37546496622</x:v>
      </x:c>
      <x:c r="E43" s="45" t="n">
        <x:v>55400</x:v>
      </x:c>
      <x:c r="F43" s="45" t="n">
        <x:v>21476</x:v>
      </x:c>
      <x:c r="G43" s="108" t="n">
        <x:f>D43/$D$33*100</x:f>
        <x:v>127.47670208345698</x:v>
      </x:c>
      <x:c r="H43" s="2"/>
      <x:c r="I43" s="2"/>
      <x:c r="J43" s="2"/>
      <x:c r="K43" s="2"/>
      <x:c r="L43" s="2"/>
      <x:c r="M43" s="2"/>
      <x:c r="N43" s="2"/>
      <x:c r="O43" s="2"/>
      <x:c r="P43" s="2"/>
    </x:row>
    <x:row r="44" ht="15" hidden="0" customHeight="1">
      <x:c r="C44" s="107" t="n">
        <x:v>44196</x:v>
      </x:c>
      <x:c r="D44" s="69" t="n">
        <x:f>F44*$E$24</x:f>
        <x:v>25814.15449349861</x:v>
      </x:c>
      <x:c r="E44" s="45" t="n">
        <x:v>59100</x:v>
      </x:c>
      <x:c r="F44" s="45" t="n">
        <x:v>22910</x:v>
      </x:c>
      <x:c r="G44" s="108" t="n">
        <x:f>D44/$D$33*100</x:f>
        <x:v>135.9886033121624</x:v>
      </x:c>
      <x:c r="H44" s="2"/>
      <x:c r="I44" s="2"/>
      <x:c r="J44" s="2"/>
      <x:c r="K44" s="2"/>
      <x:c r="L44" s="2"/>
      <x:c r="M44" s="2"/>
      <x:c r="N44" s="2"/>
      <x:c r="O44" s="2"/>
      <x:c r="P44" s="2"/>
    </x:row>
    <x:row r="45" ht="15" hidden="0" customHeight="1">
      <x:c r="C45" s="107" t="n">
        <x:v>44225</x:v>
      </x:c>
      <x:c r="D45" s="69" t="n">
        <x:f>F45*$E$24</x:f>
        <x:v>27385.989740920282</x:v>
      </x:c>
      <x:c r="E45" s="45" t="n">
        <x:v>62700</x:v>
      </x:c>
      <x:c r="F45" s="45" t="n">
        <x:v>24305</x:v>
      </x:c>
      <x:c r="G45" s="108" t="n">
        <x:f>D45/$D$33*100</x:f>
        <x:v>144.26900931916663</x:v>
      </x:c>
      <x:c r="H45" s="2"/>
      <x:c r="I45" s="2"/>
      <x:c r="J45" s="2"/>
      <x:c r="K45" s="2"/>
      <x:c r="L45" s="2"/>
      <x:c r="M45" s="2"/>
      <x:c r="N45" s="2"/>
      <x:c r="O45" s="2"/>
      <x:c r="P45" s="2"/>
    </x:row>
    <x:row r="46" ht="15" hidden="0" customHeight="1">
      <x:c r="C46" s="107" t="n">
        <x:v>44253</x:v>
      </x:c>
      <x:c r="D46" s="69" t="n">
        <x:f>F46*$E$24</x:f>
        <x:v>33283.47051870167</x:v>
      </x:c>
      <x:c r="E46" s="45" t="n">
        <x:v>76200</x:v>
      </x:c>
      <x:c r="F46" s="45" t="n">
        <x:v>29539</x:v>
      </x:c>
      <x:c r="G46" s="108" t="n">
        <x:f>D46/$D$33*100</x:f>
        <x:v>175.33685522644979</x:v>
      </x:c>
      <x:c r="H46" s="2"/>
      <x:c r="I46" s="2"/>
      <x:c r="J46" s="2"/>
      <x:c r="K46" s="2"/>
      <x:c r="L46" s="2"/>
      <x:c r="M46" s="2"/>
      <x:c r="N46" s="2"/>
      <x:c r="O46" s="2"/>
      <x:c r="P46" s="2"/>
    </x:row>
    <x:row r="47" ht="15" hidden="0" customHeight="1">
      <x:c r="C47" s="107" t="n">
        <x:v>44286</x:v>
      </x:c>
      <x:c r="D47" s="69" t="n">
        <x:f>F47*$E$24</x:f>
        <x:v>33938.120180889484</x:v>
      </x:c>
      <x:c r="E47" s="45" t="n">
        <x:v>77700</x:v>
      </x:c>
      <x:c r="F47" s="45" t="n">
        <x:v>30120</x:v>
      </x:c>
      <x:c r="G47" s="108" t="n">
        <x:f>D47/$D$33*100</x:f>
        <x:v>178.78554045230607</x:v>
      </x:c>
      <x:c r="H47" s="2"/>
      <x:c r="I47" s="2"/>
      <x:c r="J47" s="2"/>
      <x:c r="K47" s="2"/>
      <x:c r="L47" s="2"/>
      <x:c r="M47" s="2"/>
      <x:c r="N47" s="2"/>
      <x:c r="O47" s="2"/>
      <x:c r="P47" s="2"/>
    </x:row>
    <x:row r="48" ht="15" hidden="0" customHeight="1">
      <x:c r="C48" s="107" t="n">
        <x:v>44315</x:v>
      </x:c>
      <x:c r="D48" s="69" t="n">
        <x:f>F48*$E$24</x:f>
        <x:v>35335.30706748653</x:v>
      </x:c>
      <x:c r="E48" s="45" t="n">
        <x:v>80900</x:v>
      </x:c>
      <x:c r="F48" s="45" t="n">
        <x:v>31360</x:v>
      </x:c>
      <x:c r="G48" s="108" t="n">
        <x:f>D48/$D$33*100</x:f>
        <x:v>186.14590134742093</x:v>
      </x:c>
      <x:c r="H48" s="2"/>
      <x:c r="I48" s="2"/>
      <x:c r="J48" s="2"/>
      <x:c r="K48" s="2"/>
      <x:c r="L48" s="2"/>
      <x:c r="M48" s="2"/>
      <x:c r="N48" s="2"/>
      <x:c r="O48" s="2"/>
      <x:c r="P48" s="2"/>
    </x:row>
    <x:row r="49" ht="15" hidden="0" customHeight="1">
      <x:c r="C49" s="107" t="n">
        <x:v>44347</x:v>
      </x:c>
      <x:c r="D49" s="69" t="n">
        <x:f>F49*$E$24</x:f>
        <x:v>42760.67931157888</x:v>
      </x:c>
      <x:c r="E49" s="45" t="n">
        <x:v>97900</x:v>
      </x:c>
      <x:c r="F49" s="45" t="n">
        <x:v>37950</x:v>
      </x:c>
      <x:c r="G49" s="108" t="n">
        <x:f>D49/$D$33*100</x:f>
        <x:v>225.26265804000712</x:v>
      </x:c>
      <x:c r="H49" s="2"/>
      <x:c r="I49" s="2"/>
      <x:c r="J49" s="2"/>
      <x:c r="K49" s="2"/>
      <x:c r="L49" s="2"/>
      <x:c r="M49" s="2"/>
      <x:c r="N49" s="2"/>
      <x:c r="O49" s="2"/>
      <x:c r="P49" s="2"/>
    </x:row>
    <x:row r="50" ht="15" hidden="0" customHeight="1">
      <x:c r="C50" s="107" t="n">
        <x:v>44377</x:v>
      </x:c>
      <x:c r="D50" s="69" t="n">
        <x:f>F50*$E$24</x:f>
        <x:v>44658.149244667125</x:v>
      </x:c>
      <x:c r="E50" s="45" t="n">
        <x:v>88000</x:v>
      </x:c>
      <x:c r="F50" s="45" t="n">
        <x:v>39634</x:v>
      </x:c>
      <x:c r="G50" s="108" t="n">
        <x:f>D50/$D$33*100</x:f>
        <x:v>235.25850299756632</x:v>
      </x:c>
      <x:c r="H50" s="2"/>
      <x:c r="I50" s="2"/>
      <x:c r="J50" s="2"/>
      <x:c r="K50" s="2"/>
      <x:c r="L50" s="2"/>
      <x:c r="M50" s="2"/>
      <x:c r="N50" s="2"/>
      <x:c r="O50" s="2"/>
      <x:c r="P50" s="2"/>
    </x:row>
    <x:row r="51" ht="15" hidden="0" customHeight="1">
      <x:c r="C51" s="107" t="n">
        <x:v>44407</x:v>
      </x:c>
      <x:c r="D51" s="69" t="n">
        <x:f>F51*$E$24</x:f>
        <x:v>47702.66454110681</x:v>
      </x:c>
      <x:c r="E51" s="45" t="n">
        <x:v>94000</x:v>
      </x:c>
      <x:c r="F51" s="45" t="n">
        <x:v>42336</x:v>
      </x:c>
      <x:c r="G51" s="108" t="n">
        <x:f>D51/$D$33*100</x:f>
        <x:v>251.29696681901822</x:v>
      </x:c>
      <x:c r="H51" s="2"/>
      <x:c r="I51" s="2"/>
      <x:c r="J51" s="2"/>
      <x:c r="K51" s="2"/>
      <x:c r="L51" s="2"/>
      <x:c r="M51" s="2"/>
      <x:c r="N51" s="2"/>
      <x:c r="O51" s="2"/>
      <x:c r="P51" s="2"/>
    </x:row>
    <x:row r="52" ht="15" hidden="0" customHeight="1">
      <x:c r="C52" s="107" t="n">
        <x:v>44439</x:v>
      </x:c>
      <x:c r="D52" s="69" t="n">
        <x:f>F52*$E$24</x:f>
        <x:v>47388.29749162248</x:v>
      </x:c>
      <x:c r="E52" s="45" t="n">
        <x:v>92400</x:v>
      </x:c>
      <x:c r="F52" s="45" t="n">
        <x:v>42057</x:v>
      </x:c>
      <x:c r="G52" s="108" t="n">
        <x:f>D52/$D$33*100</x:f>
        <x:v>249.64088561761736</x:v>
      </x:c>
      <x:c r="H52" s="2"/>
      <x:c r="I52" s="131" t="str">
        <x:v>Interpretation: the current model-implied 2026F P/E sits below the recent three-year TTM average and around the long-run +1σ region. Historical bands are context, not an independent valuation method, because weighting them alongside peer P/E would double-count multiple evidence.</x:v>
      </x:c>
      <x:c r="J52" s="132" t="str">
        <x:v>Interpretation: the current model-implied 2026F P/E sits below the recent three-year TTM average and around the long-run +1σ region. Historical bands are context, not an independent valuation method, because weighting them alongside peer P/E would double-count multiple evidence.</x:v>
      </x:c>
      <x:c r="K52" s="132" t="str">
        <x:v>Interpretation: the current model-implied 2026F P/E sits below the recent three-year TTM average and around the long-run +1σ region. Historical bands are context, not an independent valuation method, because weighting them alongside peer P/E would double-count multiple evidence.</x:v>
      </x:c>
      <x:c r="L52" s="132" t="str">
        <x:v>Interpretation: the current model-implied 2026F P/E sits below the recent three-year TTM average and around the long-run +1σ region. Historical bands are context, not an independent valuation method, because weighting them alongside peer P/E would double-count multiple evidence.</x:v>
      </x:c>
      <x:c r="M52" s="132" t="str">
        <x:v>Interpretation: the current model-implied 2026F P/E sits below the recent three-year TTM average and around the long-run +1σ region. Historical bands are context, not an independent valuation method, because weighting them alongside peer P/E would double-count multiple evidence.</x:v>
      </x:c>
      <x:c r="N52" s="132" t="str">
        <x:v>Interpretation: the current model-implied 2026F P/E sits below the recent three-year TTM average and around the long-run +1σ region. Historical bands are context, not an independent valuation method, because weighting them alongside peer P/E would double-count multiple evidence.</x:v>
      </x:c>
      <x:c r="O52" s="132" t="str">
        <x:v>Interpretation: the current model-implied 2026F P/E sits below the recent three-year TTM average and around the long-run +1σ region. Historical bands are context, not an independent valuation method, because weighting them alongside peer P/E would double-count multiple evidence.</x:v>
      </x:c>
      <x:c r="P52" s="133" t="str">
        <x:v>Interpretation: the current model-implied 2026F P/E sits below the recent three-year TTM average and around the long-run +1σ region. Historical bands are context, not an independent valuation method, because weighting them alongside peer P/E would double-count multiple evidence.</x:v>
      </x:c>
    </x:row>
    <x:row r="53" ht="15" hidden="0" customHeight="1">
      <x:c r="C53" s="107" t="n">
        <x:v>44469</x:v>
      </x:c>
      <x:c r="D53" s="69" t="n">
        <x:f>F53*$E$24</x:f>
        <x:v>47695.903959397474</x:v>
      </x:c>
      <x:c r="E53" s="45" t="n">
        <x:v>93000</x:v>
      </x:c>
      <x:c r="F53" s="45" t="n">
        <x:v>42330</x:v>
      </x:c>
      <x:c r="G53" s="108" t="n">
        <x:f>D53/$D$33*100</x:f>
        <x:v>251.26135216952576</x:v>
      </x:c>
      <x:c r="H53" s="2"/>
      <x:c r="I53" s="134" t="str">
        <x:v>Interpretation: the current model-implied 2026F P/E sits below the recent three-year TTM average and around the long-run +1σ region. Historical bands are context, not an independent valuation method, because weighting them alongside peer P/E would double-count multiple evidence.</x:v>
      </x:c>
      <x:c r="J53" s="135" t="str">
        <x:v>Interpretation: the current model-implied 2026F P/E sits below the recent three-year TTM average and around the long-run +1σ region. Historical bands are context, not an independent valuation method, because weighting them alongside peer P/E would double-count multiple evidence.</x:v>
      </x:c>
      <x:c r="K53" s="135" t="str">
        <x:v>Interpretation: the current model-implied 2026F P/E sits below the recent three-year TTM average and around the long-run +1σ region. Historical bands are context, not an independent valuation method, because weighting them alongside peer P/E would double-count multiple evidence.</x:v>
      </x:c>
      <x:c r="L53" s="135" t="str">
        <x:v>Interpretation: the current model-implied 2026F P/E sits below the recent three-year TTM average and around the long-run +1σ region. Historical bands are context, not an independent valuation method, because weighting them alongside peer P/E would double-count multiple evidence.</x:v>
      </x:c>
      <x:c r="M53" s="135" t="str">
        <x:v>Interpretation: the current model-implied 2026F P/E sits below the recent three-year TTM average and around the long-run +1σ region. Historical bands are context, not an independent valuation method, because weighting them alongside peer P/E would double-count multiple evidence.</x:v>
      </x:c>
      <x:c r="N53" s="135" t="str">
        <x:v>Interpretation: the current model-implied 2026F P/E sits below the recent three-year TTM average and around the long-run +1σ region. Historical bands are context, not an independent valuation method, because weighting them alongside peer P/E would double-count multiple evidence.</x:v>
      </x:c>
      <x:c r="O53" s="135" t="str">
        <x:v>Interpretation: the current model-implied 2026F P/E sits below the recent three-year TTM average and around the long-run +1σ region. Historical bands are context, not an independent valuation method, because weighting them alongside peer P/E would double-count multiple evidence.</x:v>
      </x:c>
      <x:c r="P53" s="136" t="str">
        <x:v>Interpretation: the current model-implied 2026F P/E sits below the recent three-year TTM average and around the long-run +1σ region. Historical bands are context, not an independent valuation method, because weighting them alongside peer P/E would double-count multiple evidence.</x:v>
      </x:c>
    </x:row>
    <x:row r="54" ht="15" hidden="0" customHeight="1">
      <x:c r="C54" s="107" t="n">
        <x:v>44498</x:v>
      </x:c>
      <x:c r="D54" s="69" t="n">
        <x:f>F54*$E$24</x:f>
        <x:v>49695.909381744044</x:v>
      </x:c>
      <x:c r="E54" s="45" t="n">
        <x:v>96900</x:v>
      </x:c>
      <x:c r="F54" s="45" t="n">
        <x:v>44105</x:v>
      </x:c>
      <x:c r="G54" s="108" t="n">
        <x:f>D54/$D$33*100</x:f>
        <x:v>261.79735264438773</x:v>
      </x:c>
      <x:c r="H54" s="2"/>
      <x:c r="I54" s="134" t="str">
        <x:v>Interpretation: the current model-implied 2026F P/E sits below the recent three-year TTM average and around the long-run +1σ region. Historical bands are context, not an independent valuation method, because weighting them alongside peer P/E would double-count multiple evidence.</x:v>
      </x:c>
      <x:c r="J54" s="135" t="str">
        <x:v>Interpretation: the current model-implied 2026F P/E sits below the recent three-year TTM average and around the long-run +1σ region. Historical bands are context, not an independent valuation method, because weighting them alongside peer P/E would double-count multiple evidence.</x:v>
      </x:c>
      <x:c r="K54" s="135" t="str">
        <x:v>Interpretation: the current model-implied 2026F P/E sits below the recent three-year TTM average and around the long-run +1σ region. Historical bands are context, not an independent valuation method, because weighting them alongside peer P/E would double-count multiple evidence.</x:v>
      </x:c>
      <x:c r="L54" s="135" t="str">
        <x:v>Interpretation: the current model-implied 2026F P/E sits below the recent three-year TTM average and around the long-run +1σ region. Historical bands are context, not an independent valuation method, because weighting them alongside peer P/E would double-count multiple evidence.</x:v>
      </x:c>
      <x:c r="M54" s="135" t="str">
        <x:v>Interpretation: the current model-implied 2026F P/E sits below the recent three-year TTM average and around the long-run +1σ region. Historical bands are context, not an independent valuation method, because weighting them alongside peer P/E would double-count multiple evidence.</x:v>
      </x:c>
      <x:c r="N54" s="135" t="str">
        <x:v>Interpretation: the current model-implied 2026F P/E sits below the recent three-year TTM average and around the long-run +1σ region. Historical bands are context, not an independent valuation method, because weighting them alongside peer P/E would double-count multiple evidence.</x:v>
      </x:c>
      <x:c r="O54" s="135" t="str">
        <x:v>Interpretation: the current model-implied 2026F P/E sits below the recent three-year TTM average and around the long-run +1σ region. Historical bands are context, not an independent valuation method, because weighting them alongside peer P/E would double-count multiple evidence.</x:v>
      </x:c>
      <x:c r="P54" s="136" t="str">
        <x:v>Interpretation: the current model-implied 2026F P/E sits below the recent three-year TTM average and around the long-run +1σ region. Historical bands are context, not an independent valuation method, because weighting them alongside peer P/E would double-count multiple evidence.</x:v>
      </x:c>
    </x:row>
    <x:row r="55" ht="15" hidden="0" customHeight="1">
      <x:c r="C55" s="107" t="n">
        <x:v>44530</x:v>
      </x:c>
      <x:c r="D55" s="69" t="n">
        <x:f>F55*$E$24</x:f>
        <x:v>49798.44487100238</x:v>
      </x:c>
      <x:c r="E55" s="45" t="n">
        <x:v>97100</x:v>
      </x:c>
      <x:c r="F55" s="45" t="n">
        <x:v>44196</x:v>
      </x:c>
      <x:c r="G55" s="108" t="n">
        <x:f>D55/$D$33*100</x:f>
        <x:v>262.3375081616905</x:v>
      </x:c>
      <x:c r="H55" s="2"/>
      <x:c r="I55" s="137" t="str">
        <x:v>Interpretation: the current model-implied 2026F P/E sits below the recent three-year TTM average and around the long-run +1σ region. Historical bands are context, not an independent valuation method, because weighting them alongside peer P/E would double-count multiple evidence.</x:v>
      </x:c>
      <x:c r="J55" s="138" t="str">
        <x:v>Interpretation: the current model-implied 2026F P/E sits below the recent three-year TTM average and around the long-run +1σ region. Historical bands are context, not an independent valuation method, because weighting them alongside peer P/E would double-count multiple evidence.</x:v>
      </x:c>
      <x:c r="K55" s="138" t="str">
        <x:v>Interpretation: the current model-implied 2026F P/E sits below the recent three-year TTM average and around the long-run +1σ region. Historical bands are context, not an independent valuation method, because weighting them alongside peer P/E would double-count multiple evidence.</x:v>
      </x:c>
      <x:c r="L55" s="138" t="str">
        <x:v>Interpretation: the current model-implied 2026F P/E sits below the recent three-year TTM average and around the long-run +1σ region. Historical bands are context, not an independent valuation method, because weighting them alongside peer P/E would double-count multiple evidence.</x:v>
      </x:c>
      <x:c r="M55" s="138" t="str">
        <x:v>Interpretation: the current model-implied 2026F P/E sits below the recent three-year TTM average and around the long-run +1σ region. Historical bands are context, not an independent valuation method, because weighting them alongside peer P/E would double-count multiple evidence.</x:v>
      </x:c>
      <x:c r="N55" s="138" t="str">
        <x:v>Interpretation: the current model-implied 2026F P/E sits below the recent three-year TTM average and around the long-run +1σ region. Historical bands are context, not an independent valuation method, because weighting them alongside peer P/E would double-count multiple evidence.</x:v>
      </x:c>
      <x:c r="O55" s="138" t="str">
        <x:v>Interpretation: the current model-implied 2026F P/E sits below the recent three-year TTM average and around the long-run +1σ region. Historical bands are context, not an independent valuation method, because weighting them alongside peer P/E would double-count multiple evidence.</x:v>
      </x:c>
      <x:c r="P55" s="139" t="str">
        <x:v>Interpretation: the current model-implied 2026F P/E sits below the recent three-year TTM average and around the long-run +1σ region. Historical bands are context, not an independent valuation method, because weighting them alongside peer P/E would double-count multiple evidence.</x:v>
      </x:c>
    </x:row>
    <x:row r="56" ht="15" hidden="0" customHeight="1">
      <x:c r="C56" s="107" t="n">
        <x:v>44561</x:v>
      </x:c>
      <x:c r="D56" s="69" t="n">
        <x:f>F56*$E$24</x:f>
        <x:v>47695.903959397474</x:v>
      </x:c>
      <x:c r="E56" s="45" t="n">
        <x:v>93000</x:v>
      </x:c>
      <x:c r="F56" s="45" t="n">
        <x:v>42330</x:v>
      </x:c>
      <x:c r="G56" s="108" t="n">
        <x:f>D56/$D$33*100</x:f>
        <x:v>251.26135216952576</x:v>
      </x:c>
      <x:c r="H56" s="2"/>
      <x:c r="I56" s="2"/>
      <x:c r="J56" s="2"/>
      <x:c r="K56" s="2"/>
      <x:c r="L56" s="2"/>
      <x:c r="M56" s="2"/>
      <x:c r="N56" s="2"/>
      <x:c r="O56" s="2"/>
      <x:c r="P56" s="2"/>
    </x:row>
    <x:row r="57" ht="15" hidden="0" customHeight="1">
      <x:c r="C57" s="107" t="n">
        <x:v>44589</x:v>
      </x:c>
      <x:c r="D57" s="69" t="n">
        <x:f>F57*$E$24</x:f>
        <x:v>45900.96951556756</x:v>
      </x:c>
      <x:c r="E57" s="45" t="n">
        <x:v>89500</x:v>
      </x:c>
      <x:c r="F57" s="45" t="n">
        <x:v>40737</x:v>
      </x:c>
      <x:c r="G57" s="108" t="n">
        <x:f>D57/$D$33*100</x:f>
        <x:v>241.8056627292693</x:v>
      </x:c>
      <x:c r="H57" s="2"/>
      <x:c r="I57" s="2"/>
      <x:c r="J57" s="2"/>
      <x:c r="K57" s="2"/>
      <x:c r="L57" s="2"/>
      <x:c r="M57" s="2"/>
      <x:c r="N57" s="2"/>
      <x:c r="O57" s="2"/>
      <x:c r="P57" s="2"/>
    </x:row>
    <x:row r="58" ht="15" hidden="0" customHeight="1">
      <x:c r="C58" s="107" t="n">
        <x:v>44620</x:v>
      </x:c>
      <x:c r="D58" s="69" t="n">
        <x:f>F58*$E$24</x:f>
        <x:v>47850.27057509408</x:v>
      </x:c>
      <x:c r="E58" s="45" t="n">
        <x:v>93300</x:v>
      </x:c>
      <x:c r="F58" s="45" t="n">
        <x:v>42467</x:v>
      </x:c>
      <x:c r="G58" s="108" t="n">
        <x:f>D58/$D$33*100</x:f>
        <x:v>252.0745533329376</x:v>
      </x:c>
      <x:c r="H58" s="2"/>
      <x:c r="I58" s="2"/>
      <x:c r="J58" s="2"/>
      <x:c r="K58" s="2"/>
      <x:c r="L58" s="2"/>
      <x:c r="M58" s="2"/>
      <x:c r="N58" s="2"/>
      <x:c r="O58" s="2"/>
      <x:c r="P58" s="2"/>
    </x:row>
    <x:row r="59" ht="15" hidden="0" customHeight="1">
      <x:c r="C59" s="107" t="n">
        <x:v>44651</x:v>
      </x:c>
      <x:c r="D59" s="69" t="n">
        <x:f>F59*$E$24</x:f>
        <x:v>54875.641734717115</x:v>
      </x:c>
      <x:c r="E59" s="45" t="n">
        <x:v>107000</x:v>
      </x:c>
      <x:c r="F59" s="45" t="n">
        <x:v>48702</x:v>
      </x:c>
      <x:c r="G59" s="108" t="n">
        <x:f>D59/$D$33*100</x:f>
        <x:v>289.0841099305514</x:v>
      </x:c>
      <x:c r="H59" s="2"/>
      <x:c r="I59" s="2"/>
      <x:c r="J59" s="2"/>
      <x:c r="K59" s="2"/>
      <x:c r="L59" s="2"/>
      <x:c r="M59" s="2"/>
      <x:c r="N59" s="2"/>
      <x:c r="O59" s="2"/>
      <x:c r="P59" s="2"/>
    </x:row>
    <x:row r="60" ht="15" hidden="0" customHeight="1">
      <x:c r="C60" s="107" t="n">
        <x:v>44680</x:v>
      </x:c>
      <x:c r="D60" s="69" t="n">
        <x:f>F60*$E$24</x:f>
        <x:v>53850.286842133806</x:v>
      </x:c>
      <x:c r="E60" s="45" t="n">
        <x:v>105000</x:v>
      </x:c>
      <x:c r="F60" s="45" t="n">
        <x:v>47792</x:v>
      </x:c>
      <x:c r="G60" s="108" t="n">
        <x:f>D60/$D$33*100</x:f>
        <x:v>283.6825547575236</x:v>
      </x:c>
      <x:c r="H60" s="2"/>
      <x:c r="I60" s="2"/>
      <x:c r="J60" s="2"/>
      <x:c r="K60" s="2"/>
      <x:c r="L60" s="2"/>
      <x:c r="M60" s="2"/>
      <x:c r="N60" s="2"/>
      <x:c r="O60" s="2"/>
      <x:c r="P60" s="2"/>
    </x:row>
    <x:row r="61">
      <x:c r="C61" s="107" t="n">
        <x:v>44712</x:v>
      </x:c>
      <x:c r="D61" s="69" t="n">
        <x:f>F61*$E$24</x:f>
        <x:v>56362.969710772035</x:v>
      </x:c>
      <x:c r="E61" s="45" t="n">
        <x:v>109900</x:v>
      </x:c>
      <x:c r="F61" s="45" t="n">
        <x:v>50022</x:v>
      </x:c>
      <x:c r="G61" s="108" t="n">
        <x:f>D61/$D$33*100</x:f>
        <x:v>296.9193328188995</x:v>
      </x:c>
      <x:c r="H61" s="2"/>
      <x:c r="I61" s="2"/>
      <x:c r="J61" s="2"/>
      <x:c r="K61" s="2"/>
      <x:c r="L61" s="2"/>
      <x:c r="M61" s="2"/>
      <x:c r="N61" s="2"/>
      <x:c r="O61" s="2"/>
      <x:c r="P61" s="2"/>
    </x:row>
    <x:row r="62">
      <x:c r="C62" s="107" t="n">
        <x:v>44742</x:v>
      </x:c>
      <x:c r="D62" s="69" t="n">
        <x:f>F62*$E$24</x:f>
        <x:v>53534.79302903124</x:v>
      </x:c>
      <x:c r="E62" s="45" t="n">
        <x:v>86200</x:v>
      </x:c>
      <x:c r="F62" s="45" t="n">
        <x:v>47512</x:v>
      </x:c>
      <x:c r="G62" s="108" t="n">
        <x:f>D62/$D$33*100</x:f>
        <x:v>282.02053778120734</x:v>
      </x:c>
      <x:c r="H62" s="2"/>
      <x:c r="I62" s="2"/>
      <x:c r="J62" s="2"/>
      <x:c r="K62" s="2"/>
      <x:c r="L62" s="2"/>
      <x:c r="M62" s="2"/>
      <x:c r="N62" s="2"/>
      <x:c r="O62" s="2"/>
      <x:c r="P62" s="2"/>
    </x:row>
    <x:row r="63">
      <x:c r="C63" s="107" t="n">
        <x:v>44771</x:v>
      </x:c>
      <x:c r="D63" s="69" t="n">
        <x:f>F63*$E$24</x:f>
        <x:v>51857.04200149657</x:v>
      </x:c>
      <x:c r="E63" s="45" t="n">
        <x:v>83500</x:v>
      </x:c>
      <x:c r="F63" s="45" t="n">
        <x:v>46023</x:v>
      </x:c>
      <x:c r="G63" s="108" t="n">
        <x:f>D63/$D$33*100</x:f>
        <x:v>273.18216893215407</x:v>
      </x:c>
      <x:c r="H63" s="2"/>
      <x:c r="I63" s="2"/>
      <x:c r="J63" s="2"/>
      <x:c r="K63" s="2"/>
      <x:c r="L63" s="2"/>
      <x:c r="M63" s="2"/>
      <x:c r="N63" s="2"/>
      <x:c r="O63" s="2"/>
      <x:c r="P63" s="2"/>
    </x:row>
    <x:row r="64">
      <x:c r="C64" s="107" t="n">
        <x:v>44804</x:v>
      </x:c>
      <x:c r="D64" s="69" t="n">
        <x:f>F64*$E$24</x:f>
        <x:v>54408.0348331544</x:v>
      </x:c>
      <x:c r="E64" s="45" t="n">
        <x:v>86600</x:v>
      </x:c>
      <x:c r="F64" s="45" t="n">
        <x:v>48287</x:v>
      </x:c>
      <x:c r="G64" s="108" t="n">
        <x:f>D64/$D$33*100</x:f>
        <x:v>286.6207633406541</x:v>
      </x:c>
      <x:c r="H64" s="2"/>
      <x:c r="I64" s="2"/>
      <x:c r="J64" s="2"/>
      <x:c r="K64" s="2"/>
      <x:c r="L64" s="2"/>
      <x:c r="M64" s="2"/>
      <x:c r="N64" s="2"/>
      <x:c r="O64" s="2"/>
      <x:c r="P64" s="2"/>
    </x:row>
    <x:row r="65">
      <x:c r="C65" s="107" t="n">
        <x:v>44834</x:v>
      </x:c>
      <x:c r="D65" s="69" t="n">
        <x:f>F65*$E$24</x:f>
        <x:v>50575.91176757654</x:v>
      </x:c>
      <x:c r="E65" s="45" t="n">
        <x:v>80500</x:v>
      </x:c>
      <x:c r="F65" s="45" t="n">
        <x:v>44886</x:v>
      </x:c>
      <x:c r="G65" s="108" t="n">
        <x:f>D65/$D$33*100</x:f>
        <x:v>266.433192853327</x:v>
      </x:c>
      <x:c r="H65" s="2"/>
      <x:c r="I65" s="2"/>
      <x:c r="J65" s="2"/>
      <x:c r="K65" s="2"/>
      <x:c r="L65" s="2"/>
      <x:c r="M65" s="2"/>
      <x:c r="N65" s="2"/>
      <x:c r="O65" s="2"/>
      <x:c r="P65" s="2"/>
    </x:row>
    <x:row r="66">
      <x:c r="C66" s="107" t="n">
        <x:v>44865</x:v>
      </x:c>
      <x:c r="D66" s="69" t="n">
        <x:f>F66*$E$24</x:f>
        <x:v>47497.59356259015</x:v>
      </x:c>
      <x:c r="E66" s="45" t="n">
        <x:v>75600</x:v>
      </x:c>
      <x:c r="F66" s="45" t="n">
        <x:v>42154</x:v>
      </x:c>
      <x:c r="G66" s="108" t="n">
        <x:f>D66/$D$33*100</x:f>
        <x:v>250.21665578441264</x:v>
      </x:c>
      <x:c r="H66" s="2"/>
      <x:c r="I66" s="2"/>
      <x:c r="J66" s="2"/>
      <x:c r="K66" s="2"/>
      <x:c r="L66" s="2"/>
      <x:c r="M66" s="2"/>
      <x:c r="N66" s="2"/>
      <x:c r="O66" s="2"/>
      <x:c r="P66" s="2"/>
    </x:row>
    <x:row r="67">
      <x:c r="C67" s="107" t="n">
        <x:v>44895</x:v>
      </x:c>
      <x:c r="D67" s="69" t="n">
        <x:f>F67*$E$24</x:f>
        <x:v>46868.85946362148</x:v>
      </x:c>
      <x:c r="E67" s="45" t="n">
        <x:v>74600</x:v>
      </x:c>
      <x:c r="F67" s="45" t="n">
        <x:v>41596</x:v>
      </x:c>
      <x:c r="G67" s="108" t="n">
        <x:f>D67/$D$33*100</x:f>
        <x:v>246.90449338161096</x:v>
      </x:c>
      <x:c r="H67" s="2"/>
      <x:c r="I67" s="2"/>
      <x:c r="J67" s="2"/>
      <x:c r="K67" s="2"/>
      <x:c r="L67" s="2"/>
      <x:c r="M67" s="2"/>
      <x:c r="N67" s="2"/>
      <x:c r="O67" s="2"/>
      <x:c r="P67" s="2"/>
    </x:row>
    <x:row r="68">
      <x:c r="C68" s="107" t="n">
        <x:v>44925</x:v>
      </x:c>
      <x:c r="D68" s="69" t="n">
        <x:f>F68*$E$24</x:f>
        <x:v>48314.49718580213</x:v>
      </x:c>
      <x:c r="E68" s="45" t="n">
        <x:v>76900</x:v>
      </x:c>
      <x:c r="F68" s="45" t="n">
        <x:v>42879</x:v>
      </x:c>
      <x:c r="G68" s="108" t="n">
        <x:f>D68/$D$33*100</x:f>
        <x:v>254.5200925980887</x:v>
      </x:c>
      <x:c r="H68" s="2"/>
      <x:c r="I68" s="2"/>
      <x:c r="J68" s="2"/>
      <x:c r="K68" s="2"/>
      <x:c r="L68" s="2"/>
      <x:c r="M68" s="2"/>
      <x:c r="N68" s="2"/>
      <x:c r="O68" s="2"/>
      <x:c r="P68" s="2"/>
    </x:row>
    <x:row r="69">
      <x:c r="C69" s="107" t="n">
        <x:v>44957</x:v>
      </x:c>
      <x:c r="D69" s="69" t="n">
        <x:f>F69*$E$24</x:f>
        <x:v>52460.987300864326</x:v>
      </x:c>
      <x:c r="E69" s="45" t="n">
        <x:v>83500</x:v>
      </x:c>
      <x:c r="F69" s="45" t="n">
        <x:v>46559</x:v>
      </x:c>
      <x:c r="G69" s="108" t="n">
        <x:f>D69/$D$33*100</x:f>
        <x:v>276.36374428681665</x:v>
      </x:c>
      <x:c r="H69" s="2"/>
      <x:c r="I69" s="2"/>
      <x:c r="J69" s="2"/>
      <x:c r="K69" s="2"/>
      <x:c r="L69" s="2"/>
      <x:c r="M69" s="2"/>
      <x:c r="N69" s="2"/>
      <x:c r="O69" s="2"/>
      <x:c r="P69" s="2"/>
    </x:row>
    <x:row r="70">
      <x:c r="C70" s="107" t="n">
        <x:v>44985</x:v>
      </x:c>
      <x:c r="D70" s="69" t="n">
        <x:f>F70*$E$24</x:f>
        <x:v>50575.91176757654</x:v>
      </x:c>
      <x:c r="E70" s="45" t="n">
        <x:v>80500</x:v>
      </x:c>
      <x:c r="F70" s="45" t="n">
        <x:v>44886</x:v>
      </x:c>
      <x:c r="G70" s="108" t="n">
        <x:f>D70/$D$33*100</x:f>
        <x:v>266.433192853327</x:v>
      </x:c>
      <x:c r="H70" s="2"/>
      <x:c r="I70" s="2"/>
      <x:c r="J70" s="2"/>
      <x:c r="K70" s="2"/>
      <x:c r="L70" s="2"/>
      <x:c r="M70" s="2"/>
      <x:c r="N70" s="2"/>
      <x:c r="O70" s="2"/>
      <x:c r="P70" s="2"/>
    </x:row>
    <x:row r="71">
      <x:c r="C71" s="107" t="n">
        <x:v>45016</x:v>
      </x:c>
      <x:c r="D71" s="69" t="n">
        <x:f>F71*$E$24</x:f>
        <x:v>49695.909381744044</x:v>
      </x:c>
      <x:c r="E71" s="45" t="n">
        <x:v>79100</x:v>
      </x:c>
      <x:c r="F71" s="45" t="n">
        <x:v>44105</x:v>
      </x:c>
      <x:c r="G71" s="108" t="n">
        <x:f>D71/$D$33*100</x:f>
        <x:v>261.79735264438773</x:v>
      </x:c>
      <x:c r="H71" s="2"/>
      <x:c r="I71" s="2"/>
      <x:c r="J71" s="2"/>
      <x:c r="K71" s="2"/>
      <x:c r="L71" s="2"/>
      <x:c r="M71" s="2"/>
      <x:c r="N71" s="2"/>
      <x:c r="O71" s="2"/>
      <x:c r="P71" s="2"/>
    </x:row>
    <x:row r="72">
      <x:c r="C72" s="107" t="n">
        <x:v>45044</x:v>
      </x:c>
      <x:c r="D72" s="69" t="n">
        <x:f>F72*$E$24</x:f>
        <x:v>48690.836234288756</x:v>
      </x:c>
      <x:c r="E72" s="45" t="n">
        <x:v>77500</x:v>
      </x:c>
      <x:c r="F72" s="45" t="n">
        <x:v>43213</x:v>
      </x:c>
      <x:c r="G72" s="108" t="n">
        <x:f>D72/$D$33*100</x:f>
        <x:v>256.5026414198374</x:v>
      </x:c>
      <x:c r="H72" s="2"/>
      <x:c r="I72" s="2"/>
      <x:c r="J72" s="2"/>
      <x:c r="K72" s="2"/>
      <x:c r="L72" s="2"/>
      <x:c r="M72" s="2"/>
      <x:c r="N72" s="2"/>
      <x:c r="O72" s="2"/>
      <x:c r="P72" s="2"/>
    </x:row>
    <x:row r="73">
      <x:c r="C73" s="107" t="n">
        <x:v>45077</x:v>
      </x:c>
      <x:c r="D73" s="69" t="n">
        <x:f>F73*$E$24</x:f>
        <x:v>52837.326349350944</x:v>
      </x:c>
      <x:c r="E73" s="45" t="n">
        <x:v>84100</x:v>
      </x:c>
      <x:c r="F73" s="45" t="n">
        <x:v>46893</x:v>
      </x:c>
      <x:c r="G73" s="108" t="n">
        <x:f>D73/$D$33*100</x:f>
        <x:v>278.3462931085653</x:v>
      </x:c>
      <x:c r="H73" s="2"/>
      <x:c r="I73" s="2"/>
      <x:c r="J73" s="2"/>
      <x:c r="K73" s="2"/>
      <x:c r="L73" s="2"/>
      <x:c r="M73" s="2"/>
      <x:c r="N73" s="2"/>
      <x:c r="O73" s="2"/>
      <x:c r="P73" s="2"/>
    </x:row>
    <x:row r="74">
      <x:c r="C74" s="107" t="n">
        <x:v>45107</x:v>
      </x:c>
      <x:c r="D74" s="69" t="n">
        <x:f>F74*$E$24</x:f>
        <x:v>54031.695784667776</x:v>
      </x:c>
      <x:c r="E74" s="45" t="n">
        <x:v>86000</x:v>
      </x:c>
      <x:c r="F74" s="45" t="n">
        <x:v>47953</x:v>
      </x:c>
      <x:c r="G74" s="108" t="n">
        <x:f>D74/$D$33*100</x:f>
        <x:v>284.63821451890544</x:v>
      </x:c>
      <x:c r="H74" s="2"/>
      <x:c r="I74" s="2"/>
      <x:c r="J74" s="2"/>
      <x:c r="K74" s="2"/>
      <x:c r="L74" s="2"/>
      <x:c r="M74" s="2"/>
      <x:c r="N74" s="2"/>
      <x:c r="O74" s="2"/>
      <x:c r="P74" s="2"/>
    </x:row>
    <x:row r="75">
      <x:c r="C75" s="107" t="n">
        <x:v>45138</x:v>
      </x:c>
      <x:c r="D75" s="69" t="n">
        <x:f>F75*$E$24</x:f>
        <x:v>62564.67666547375</x:v>
      </x:c>
      <x:c r="E75" s="45" t="n">
        <x:v>85600</x:v>
      </x:c>
      <x:c r="F75" s="45" t="n">
        <x:v>55526</x:v>
      </x:c>
      <x:c r="G75" s="108" t="n">
        <x:f>D75/$D$33*100</x:f>
        <x:v>329.5898379533448</x:v>
      </x:c>
      <x:c r="H75" s="2"/>
      <x:c r="I75" s="2"/>
      <x:c r="J75" s="2"/>
      <x:c r="K75" s="2"/>
      <x:c r="L75" s="2"/>
      <x:c r="M75" s="2"/>
      <x:c r="N75" s="2"/>
      <x:c r="O75" s="2"/>
      <x:c r="P75" s="2"/>
    </x:row>
    <x:row r="76">
      <x:c r="C76" s="107" t="n">
        <x:v>45169</x:v>
      </x:c>
      <x:c r="D76" s="69" t="n">
        <x:f>F76*$E$24</x:f>
        <x:v>71506.67273969483</x:v>
      </x:c>
      <x:c r="E76" s="45" t="n">
        <x:v>96700</x:v>
      </x:c>
      <x:c r="F76" s="45" t="n">
        <x:v>63462</x:v>
      </x:c>
      <x:c r="G76" s="108" t="n">
        <x:f>D76/$D$33*100</x:f>
        <x:v>376.69614768207987</x:v>
      </x:c>
      <x:c r="H76" s="2"/>
      <x:c r="I76" s="2"/>
      <x:c r="J76" s="2"/>
      <x:c r="K76" s="2"/>
      <x:c r="L76" s="2"/>
      <x:c r="M76" s="2"/>
      <x:c r="N76" s="2"/>
      <x:c r="O76" s="2"/>
      <x:c r="P76" s="2"/>
    </x:row>
    <x:row r="77">
      <x:c r="C77" s="107" t="n">
        <x:v>45198</x:v>
      </x:c>
      <x:c r="D77" s="69" t="n">
        <x:f>F77*$E$24</x:f>
        <x:v>68622.15787704288</x:v>
      </x:c>
      <x:c r="E77" s="45" t="n">
        <x:v>92800</x:v>
      </x:c>
      <x:c r="F77" s="45" t="n">
        <x:v>60902</x:v>
      </x:c>
      <x:c r="G77" s="108" t="n">
        <x:f>D77/$D$33*100</x:f>
        <x:v>361.500563898617</x:v>
      </x:c>
      <x:c r="H77" s="2"/>
      <x:c r="I77" s="2"/>
      <x:c r="J77" s="2"/>
      <x:c r="K77" s="2"/>
      <x:c r="L77" s="2"/>
      <x:c r="M77" s="2"/>
      <x:c r="N77" s="2"/>
      <x:c r="O77" s="2"/>
      <x:c r="P77" s="2"/>
    </x:row>
    <x:row r="78">
      <x:c r="C78" s="107" t="n">
        <x:v>45230</x:v>
      </x:c>
      <x:c r="D78" s="69" t="n">
        <x:f>F78*$E$24</x:f>
        <x:v>61375.941048248045</x:v>
      </x:c>
      <x:c r="E78" s="45" t="n">
        <x:v>83000</x:v>
      </x:c>
      <x:c r="F78" s="45" t="n">
        <x:v>54471</x:v>
      </x:c>
      <x:c r="G78" s="108" t="n">
        <x:f>D78/$D$33*100</x:f>
        <x:v>323.3275954175818</x:v>
      </x:c>
      <x:c r="H78" s="2"/>
      <x:c r="I78" s="2"/>
      <x:c r="J78" s="2"/>
      <x:c r="K78" s="2"/>
      <x:c r="L78" s="2"/>
      <x:c r="M78" s="2"/>
      <x:c r="N78" s="2"/>
      <x:c r="O78" s="2"/>
      <x:c r="P78" s="2"/>
    </x:row>
    <x:row r="79">
      <x:c r="C79" s="107" t="n">
        <x:v>45260</x:v>
      </x:c>
      <x:c r="D79" s="69" t="n">
        <x:f>F79*$E$24</x:f>
        <x:v>67957.36734229105</x:v>
      </x:c>
      <x:c r="E79" s="45" t="n">
        <x:v>91900</x:v>
      </x:c>
      <x:c r="F79" s="45" t="n">
        <x:v>60312</x:v>
      </x:c>
      <x:c r="G79" s="108" t="n">
        <x:f>D79/$D$33*100</x:f>
        <x:v>357.998456698522</x:v>
      </x:c>
      <x:c r="H79" s="2"/>
      <x:c r="I79" s="2"/>
      <x:c r="J79" s="2"/>
      <x:c r="K79" s="2"/>
      <x:c r="L79" s="2"/>
      <x:c r="M79" s="2"/>
      <x:c r="N79" s="2"/>
      <x:c r="O79" s="2"/>
      <x:c r="P79" s="2"/>
    </x:row>
    <x:row r="80">
      <x:c r="C80" s="107" t="n">
        <x:v>45289</x:v>
      </x:c>
      <x:c r="D80" s="69" t="n">
        <x:f>F80*$E$24</x:f>
        <x:v>71062.7278741148</x:v>
      </x:c>
      <x:c r="E80" s="45" t="n">
        <x:v>96100</x:v>
      </x:c>
      <x:c r="F80" s="45" t="n">
        <x:v>63068</x:v>
      </x:c>
      <x:c r="G80" s="108" t="n">
        <x:f>D80/$D$33*100</x:f>
        <x:v>374.3574523654063</x:v>
      </x:c>
      <x:c r="H80" s="2"/>
      <x:c r="I80" s="2"/>
      <x:c r="J80" s="2"/>
      <x:c r="K80" s="2"/>
      <x:c r="L80" s="2"/>
      <x:c r="M80" s="2"/>
      <x:c r="N80" s="2"/>
      <x:c r="O80" s="2"/>
      <x:c r="P80" s="2"/>
    </x:row>
    <x:row r="81">
      <x:c r="C81" s="107" t="n">
        <x:v>45322</x:v>
      </x:c>
      <x:c r="D81" s="69" t="n">
        <x:f>F81*$E$24</x:f>
        <x:v>70767.51580614026</x:v>
      </x:c>
      <x:c r="E81" s="45" t="n">
        <x:v>95700</x:v>
      </x:c>
      <x:c r="F81" s="45" t="n">
        <x:v>62806</x:v>
      </x:c>
      <x:c r="G81" s="108" t="n">
        <x:f>D81/$D$33*100</x:f>
        <x:v>372.8022793375675</x:v>
      </x:c>
      <x:c r="H81" s="2"/>
      <x:c r="I81" s="2"/>
      <x:c r="J81" s="2"/>
      <x:c r="K81" s="2"/>
      <x:c r="L81" s="2"/>
      <x:c r="M81" s="2"/>
      <x:c r="N81" s="2"/>
      <x:c r="O81" s="2"/>
      <x:c r="P81" s="2"/>
    </x:row>
    <x:row r="82">
      <x:c r="C82" s="107" t="n">
        <x:v>45351</x:v>
      </x:c>
      <x:c r="D82" s="69" t="n">
        <x:f>F82*$E$24</x:f>
        <x:v>80601.9086659943</x:v>
      </x:c>
      <x:c r="E82" s="45" t="n">
        <x:v>109000</x:v>
      </x:c>
      <x:c r="F82" s="45" t="n">
        <x:v>71534</x:v>
      </x:c>
      <x:c r="G82" s="108" t="n">
        <x:f>D82/$D$33*100</x:f>
        <x:v>424.6097227993115</x:v>
      </x:c>
      <x:c r="H82" s="2"/>
      <x:c r="I82" s="2"/>
      <x:c r="J82" s="2"/>
      <x:c r="K82" s="2"/>
      <x:c r="L82" s="2"/>
      <x:c r="M82" s="2"/>
      <x:c r="N82" s="2"/>
      <x:c r="O82" s="2"/>
      <x:c r="P82" s="2"/>
    </x:row>
    <x:row r="83">
      <x:c r="C83" s="107" t="n">
        <x:v>45380</x:v>
      </x:c>
      <x:c r="D83" s="69" t="n">
        <x:f>F83*$E$24</x:f>
        <x:v>86147.83919488998</x:v>
      </x:c>
      <x:c r="E83" s="45" t="n">
        <x:v>116500</x:v>
      </x:c>
      <x:c r="F83" s="45" t="n">
        <x:v>76456</x:v>
      </x:c>
      <x:c r="G83" s="108" t="n">
        <x:f>D83/$D$33*100</x:f>
        <x:v>453.82560693298507</x:v>
      </x:c>
      <x:c r="H83" s="2"/>
      <x:c r="I83" s="2"/>
      <x:c r="J83" s="2"/>
      <x:c r="K83" s="2"/>
      <x:c r="L83" s="2"/>
      <x:c r="M83" s="2"/>
      <x:c r="N83" s="2"/>
      <x:c r="O83" s="2"/>
      <x:c r="P83" s="2"/>
    </x:row>
    <x:row r="84">
      <x:c r="C84" s="107" t="n">
        <x:v>45408</x:v>
      </x:c>
      <x:c r="D84" s="69" t="n">
        <x:f>F84*$E$24</x:f>
        <x:v>91102.21882421838</x:v>
      </x:c>
      <x:c r="E84" s="45" t="n">
        <x:v>123200</x:v>
      </x:c>
      <x:c r="F84" s="45" t="n">
        <x:v>80853</x:v>
      </x:c>
      <x:c r="G84" s="108" t="n">
        <x:f>D84/$D$33*100</x:f>
        <x:v>479.92520923606577</x:v>
      </x:c>
      <x:c r="H84" s="2"/>
      <x:c r="I84" s="2"/>
      <x:c r="J84" s="2"/>
      <x:c r="K84" s="2"/>
      <x:c r="L84" s="2"/>
      <x:c r="M84" s="2"/>
      <x:c r="N84" s="2"/>
      <x:c r="O84" s="2"/>
      <x:c r="P84" s="2"/>
    </x:row>
    <x:row r="85">
      <x:c r="C85" s="107" t="n">
        <x:v>45443</x:v>
      </x:c>
      <x:c r="D85" s="69" t="n">
        <x:f>F85*$E$24</x:f>
        <x:v>99532.66421576602</x:v>
      </x:c>
      <x:c r="E85" s="45" t="n">
        <x:v>134600</x:v>
      </x:c>
      <x:c r="F85" s="45" t="n">
        <x:v>88335</x:v>
      </x:c>
      <x:c r="G85" s="108" t="n">
        <x:f>D85/$D$33*100</x:f>
        <x:v>524.3366771532023</x:v>
      </x:c>
      <x:c r="H85" s="2"/>
      <x:c r="I85" s="2"/>
      <x:c r="J85" s="2"/>
      <x:c r="K85" s="2"/>
      <x:c r="L85" s="2"/>
      <x:c r="M85" s="2"/>
      <x:c r="N85" s="2"/>
      <x:c r="O85" s="2"/>
      <x:c r="P85" s="2"/>
    </x:row>
    <x:row r="86">
      <x:c r="C86" s="107" t="n">
        <x:v>45471</x:v>
      </x:c>
      <x:c r="D86" s="69" t="n">
        <x:f>F86*$E$24</x:f>
        <x:v>111742.27478283503</x:v>
      </x:c>
      <x:c r="E86" s="45" t="n">
        <x:v>130500</x:v>
      </x:c>
      <x:c r="F86" s="45" t="n">
        <x:v>99171</x:v>
      </x:c>
      <x:c r="G86" s="108" t="n">
        <x:f>D86/$D$33*100</x:f>
        <x:v>588.6567341366415</x:v>
      </x:c>
      <x:c r="H86" s="2"/>
      <x:c r="I86" s="2"/>
      <x:c r="J86" s="2"/>
      <x:c r="K86" s="2"/>
      <x:c r="L86" s="2"/>
      <x:c r="M86" s="2"/>
      <x:c r="N86" s="2"/>
      <x:c r="O86" s="2"/>
      <x:c r="P86" s="2"/>
    </x:row>
    <x:row r="87">
      <x:c r="C87" s="107" t="n">
        <x:v>45504</x:v>
      </x:c>
      <x:c r="D87" s="69" t="n">
        <x:f>F87*$E$24</x:f>
        <x:v>110115.2281181204</x:v>
      </x:c>
      <x:c r="E87" s="45" t="n">
        <x:v>128600</x:v>
      </x:c>
      <x:c r="F87" s="45" t="n">
        <x:v>97727</x:v>
      </x:c>
      <x:c r="G87" s="108" t="n">
        <x:f>D87/$D$33*100</x:f>
        <x:v>580.085475158782</x:v>
      </x:c>
      <x:c r="H87" s="2"/>
      <x:c r="I87" s="2"/>
      <x:c r="J87" s="2"/>
      <x:c r="K87" s="2"/>
      <x:c r="L87" s="2"/>
      <x:c r="M87" s="2"/>
      <x:c r="N87" s="2"/>
      <x:c r="O87" s="2"/>
      <x:c r="P87" s="2"/>
    </x:row>
    <x:row r="88">
      <x:c r="C88" s="107" t="n">
        <x:v>45534</x:v>
      </x:c>
      <x:c r="D88" s="69" t="n">
        <x:f>F88*$E$24</x:f>
        <x:v>115424.53828718916</x:v>
      </x:c>
      <x:c r="E88" s="45" t="n">
        <x:v>134800</x:v>
      </x:c>
      <x:c r="F88" s="45" t="n">
        <x:v>102439</x:v>
      </x:c>
      <x:c r="G88" s="108" t="n">
        <x:f>D88/$D$33*100</x:f>
        <x:v>608.0548465602184</x:v>
      </x:c>
      <x:c r="H88" s="2"/>
      <x:c r="I88" s="2"/>
      <x:c r="J88" s="2"/>
      <x:c r="K88" s="2"/>
      <x:c r="L88" s="2"/>
      <x:c r="M88" s="2"/>
      <x:c r="N88" s="2"/>
      <x:c r="O88" s="2"/>
      <x:c r="P88" s="2"/>
    </x:row>
    <x:row r="89">
      <x:c r="C89" s="107" t="n">
        <x:v>45565</x:v>
      </x:c>
      <x:c r="D89" s="69" t="n">
        <x:f>F89*$E$24</x:f>
        <x:v>115167.63618223423</x:v>
      </x:c>
      <x:c r="E89" s="45" t="n">
        <x:v>134500</x:v>
      </x:c>
      <x:c r="F89" s="45" t="n">
        <x:v>102211</x:v>
      </x:c>
      <x:c r="G89" s="108" t="n">
        <x:f>D89/$D$33*100</x:f>
        <x:v>606.7014898795038</x:v>
      </x:c>
      <x:c r="H89" s="2"/>
      <x:c r="I89" s="2"/>
      <x:c r="J89" s="2"/>
      <x:c r="K89" s="2"/>
      <x:c r="L89" s="2"/>
      <x:c r="M89" s="2"/>
      <x:c r="N89" s="2"/>
      <x:c r="O89" s="2"/>
      <x:c r="P89" s="2"/>
    </x:row>
    <x:row r="90">
      <x:c r="C90" s="107" t="n">
        <x:v>45596</x:v>
      </x:c>
      <x:c r="D90" s="69" t="n">
        <x:f>F90*$E$24</x:f>
        <x:v>116365.38590840573</x:v>
      </x:c>
      <x:c r="E90" s="45" t="n">
        <x:v>135900</x:v>
      </x:c>
      <x:c r="F90" s="45" t="n">
        <x:v>103274</x:v>
      </x:c>
      <x:c r="G90" s="108" t="n">
        <x:f>D90/$D$33*100</x:f>
        <x:v>613.0112186145902</x:v>
      </x:c>
      <x:c r="H90" s="2"/>
      <x:c r="I90" s="2"/>
      <x:c r="J90" s="2"/>
      <x:c r="K90" s="2"/>
      <x:c r="L90" s="2"/>
      <x:c r="M90" s="2"/>
      <x:c r="N90" s="2"/>
      <x:c r="O90" s="2"/>
      <x:c r="P90" s="2"/>
    </x:row>
    <x:row r="91">
      <x:c r="C91" s="107" t="n">
        <x:v>45625</x:v>
      </x:c>
      <x:c r="D91" s="69" t="n">
        <x:f>F91*$E$24</x:f>
        <x:v>123558.64484714405</x:v>
      </x:c>
      <x:c r="E91" s="45" t="n">
        <x:v>144300</x:v>
      </x:c>
      <x:c r="F91" s="45" t="n">
        <x:v>109658</x:v>
      </x:c>
      <x:c r="G91" s="108" t="n">
        <x:f>D91/$D$33*100</x:f>
        <x:v>650.9052056746009</x:v>
      </x:c>
      <x:c r="H91" s="2"/>
      <x:c r="I91" s="2"/>
      <x:c r="J91" s="2"/>
      <x:c r="K91" s="2"/>
      <x:c r="L91" s="2"/>
      <x:c r="M91" s="2"/>
      <x:c r="N91" s="2"/>
      <x:c r="O91" s="2"/>
      <x:c r="P91" s="2"/>
    </x:row>
    <x:row r="92">
      <x:c r="C92" s="107" t="n">
        <x:v>45657</x:v>
      </x:c>
      <x:c r="D92" s="69" t="n">
        <x:f>F92*$E$24</x:f>
        <x:v>131486.55366496404</x:v>
      </x:c>
      <x:c r="E92" s="45" t="n">
        <x:v>152500</x:v>
      </x:c>
      <x:c r="F92" s="45" t="n">
        <x:v>116694</x:v>
      </x:c>
      <x:c r="G92" s="108" t="n">
        <x:f>D92/$D$33*100</x:f>
        <x:v>692.6693179794621</x:v>
      </x:c>
      <x:c r="H92" s="2"/>
      <x:c r="I92" s="2"/>
      <x:c r="J92" s="2"/>
      <x:c r="K92" s="2"/>
      <x:c r="L92" s="2"/>
      <x:c r="M92" s="2"/>
      <x:c r="N92" s="2"/>
      <x:c r="O92" s="2"/>
      <x:c r="P92" s="2"/>
    </x:row>
    <x:row r="93">
      <x:c r="C93" s="107" t="n">
        <x:v>45681</x:v>
      </x:c>
      <x:c r="D93" s="69" t="n">
        <x:f>F93*$E$24</x:f>
        <x:v>132262.89379792</x:v>
      </x:c>
      <x:c r="E93" s="45" t="n">
        <x:v>153400</x:v>
      </x:c>
      <x:c r="F93" s="45" t="n">
        <x:v>117383</x:v>
      </x:c>
      <x:c r="G93" s="108" t="n">
        <x:f>D93/$D$33*100</x:f>
        <x:v>696.7590668961833</x:v>
      </x:c>
      <x:c r="H93" s="2"/>
      <x:c r="I93" s="2"/>
      <x:c r="J93" s="2"/>
      <x:c r="K93" s="2"/>
      <x:c r="L93" s="2"/>
      <x:c r="M93" s="2"/>
      <x:c r="N93" s="2"/>
      <x:c r="O93" s="2"/>
      <x:c r="P93" s="2"/>
    </x:row>
    <x:row r="94">
      <x:c r="C94" s="107" t="n">
        <x:v>45716</x:v>
      </x:c>
      <x:c r="D94" s="69" t="n">
        <x:f>F94*$E$24</x:f>
        <x:v>120968.21528884841</x:v>
      </x:c>
      <x:c r="E94" s="45" t="n">
        <x:v>140300</x:v>
      </x:c>
      <x:c r="F94" s="45" t="n">
        <x:v>107359</x:v>
      </x:c>
      <x:c r="G94" s="108" t="n">
        <x:f>D94/$D$33*100</x:f>
        <x:v>637.2588591440613</x:v>
      </x:c>
      <x:c r="H94" s="2"/>
      <x:c r="I94" s="2"/>
      <x:c r="J94" s="2"/>
      <x:c r="K94" s="2"/>
      <x:c r="L94" s="2"/>
      <x:c r="M94" s="2"/>
      <x:c r="N94" s="2"/>
      <x:c r="O94" s="2"/>
      <x:c r="P94" s="2"/>
    </x:row>
    <x:row r="95">
      <x:c r="C95" s="107" t="n">
        <x:v>45747</x:v>
      </x:c>
      <x:c r="D95" s="69" t="n">
        <x:f>F95*$E$24</x:f>
        <x:v>104327.04341130669</x:v>
      </x:c>
      <x:c r="E95" s="45" t="n">
        <x:v>121000</x:v>
      </x:c>
      <x:c r="F95" s="45" t="n">
        <x:v>92590</x:v>
      </x:c>
      <x:c r="G95" s="108" t="n">
        <x:f>D95/$D$33*100</x:f>
        <x:v>549.5933994182941</x:v>
      </x:c>
      <x:c r="H95" s="2"/>
      <x:c r="I95" s="2"/>
      <x:c r="J95" s="2"/>
      <x:c r="K95" s="2"/>
      <x:c r="L95" s="2"/>
      <x:c r="M95" s="2"/>
      <x:c r="N95" s="2"/>
      <x:c r="O95" s="2"/>
      <x:c r="P95" s="2"/>
    </x:row>
    <x:row r="96">
      <x:c r="C96" s="107" t="n">
        <x:v>45776</x:v>
      </x:c>
      <x:c r="D96" s="69" t="n">
        <x:f>F96*$E$24</x:f>
        <x:v>94325.88953595559</x:v>
      </x:c>
      <x:c r="E96" s="45" t="n">
        <x:v>109400</x:v>
      </x:c>
      <x:c r="F96" s="45" t="n">
        <x:v>83714</x:v>
      </x:c>
      <x:c r="G96" s="108" t="n">
        <x:f>D96/$D$33*100</x:f>
        <x:v>496.9074612690687</x:v>
      </x:c>
      <x:c r="H96" s="2"/>
      <x:c r="I96" s="2"/>
      <x:c r="J96" s="2"/>
      <x:c r="K96" s="2"/>
      <x:c r="L96" s="2"/>
      <x:c r="M96" s="2"/>
      <x:c r="N96" s="2"/>
      <x:c r="O96" s="2"/>
      <x:c r="P96" s="2"/>
    </x:row>
    <x:row r="97">
      <x:c r="C97" s="107" t="n">
        <x:v>45807</x:v>
      </x:c>
      <x:c r="D97" s="69" t="n">
        <x:f>F97*$E$24</x:f>
        <x:v>100447.59627376344</x:v>
      </x:c>
      <x:c r="E97" s="45" t="n">
        <x:v>116500</x:v>
      </x:c>
      <x:c r="F97" s="45" t="n">
        <x:v>89147</x:v>
      </x:c>
      <x:c r="G97" s="108" t="n">
        <x:f>D97/$D$33*100</x:f>
        <x:v>529.1565263845195</x:v>
      </x:c>
      <x:c r="H97" s="2"/>
      <x:c r="I97" s="2"/>
      <x:c r="J97" s="2"/>
      <x:c r="K97" s="2"/>
      <x:c r="L97" s="2"/>
      <x:c r="M97" s="2"/>
      <x:c r="N97" s="2"/>
      <x:c r="O97" s="2"/>
      <x:c r="P97" s="2"/>
    </x:row>
    <x:row r="98">
      <x:c r="C98" s="107" t="n">
        <x:v>45838</x:v>
      </x:c>
      <x:c r="D98" s="69" t="n">
        <x:f>F98*$E$24</x:f>
        <x:v>102786.75754519526</x:v>
      </x:c>
      <x:c r="E98" s="45" t="n">
        <x:v>118200</x:v>
      </x:c>
      <x:c r="F98" s="45" t="n">
        <x:v>91223</x:v>
      </x:c>
      <x:c r="G98" s="108" t="n">
        <x:f>D98/$D$33*100</x:f>
        <x:v>541.4791951089214</x:v>
      </x:c>
      <x:c r="H98" s="2"/>
      <x:c r="I98" s="2"/>
      <x:c r="J98" s="2"/>
      <x:c r="K98" s="2"/>
      <x:c r="L98" s="2"/>
      <x:c r="M98" s="2"/>
      <x:c r="N98" s="2"/>
      <x:c r="O98" s="2"/>
      <x:c r="P98" s="2"/>
    </x:row>
    <x:row r="99">
      <x:c r="C99" s="107" t="n">
        <x:v>45869</x:v>
      </x:c>
      <x:c r="D99" s="69" t="n">
        <x:f>F99*$E$24</x:f>
        <x:v>104000.2819620219</x:v>
      </x:c>
      <x:c r="E99" s="45" t="n">
        <x:v>104000</x:v>
      </x:c>
      <x:c r="F99" s="45" t="n">
        <x:v>92300</x:v>
      </x:c>
      <x:c r="G99" s="108" t="n">
        <x:f>D99/$D$33*100</x:f>
        <x:v>547.8720246928237</x:v>
      </x:c>
      <x:c r="H99" s="2"/>
      <x:c r="I99" s="2"/>
      <x:c r="J99" s="2"/>
      <x:c r="K99" s="2"/>
      <x:c r="L99" s="2"/>
      <x:c r="M99" s="2"/>
      <x:c r="N99" s="2"/>
      <x:c r="O99" s="2"/>
      <x:c r="P99" s="2"/>
    </x:row>
    <x:row r="100">
      <x:c r="C100" s="107" t="n">
        <x:v>45898</x:v>
      </x:c>
      <x:c r="D100" s="69" t="n">
        <x:f>F100*$E$24</x:f>
        <x:v>101600.27545520599</x:v>
      </x:c>
      <x:c r="E100" s="45" t="n">
        <x:v>101600</x:v>
      </x:c>
      <x:c r="F100" s="45" t="n">
        <x:v>90170</x:v>
      </x:c>
      <x:c r="G100" s="108" t="n">
        <x:f>D100/$D$33*100</x:f>
        <x:v>535.2288241229892</x:v>
      </x:c>
      <x:c r="H100" s="2"/>
      <x:c r="I100" s="2"/>
      <x:c r="J100" s="2"/>
      <x:c r="K100" s="2"/>
      <x:c r="L100" s="2"/>
      <x:c r="M100" s="2"/>
      <x:c r="N100" s="2"/>
      <x:c r="O100" s="2"/>
      <x:c r="P100" s="2"/>
    </x:row>
    <x:row r="101">
      <x:c r="C101" s="107" t="n">
        <x:v>45930</x:v>
      </x:c>
      <x:c r="D101" s="69" t="n">
        <x:f>F101*$E$24</x:f>
        <x:v>92999.68875730662</x:v>
      </x:c>
      <x:c r="E101" s="45" t="n">
        <x:v>93000</x:v>
      </x:c>
      <x:c r="F101" s="45" t="n">
        <x:v>82537</x:v>
      </x:c>
      <x:c r="G101" s="108" t="n">
        <x:f>D101/$D$33*100</x:f>
        <x:v>489.92105419362497</x:v>
      </x:c>
      <x:c r="H101" s="2"/>
      <x:c r="I101" s="2"/>
      <x:c r="J101" s="2"/>
      <x:c r="K101" s="2"/>
      <x:c r="L101" s="2"/>
      <x:c r="M101" s="2"/>
      <x:c r="N101" s="2"/>
      <x:c r="O101" s="2"/>
      <x:c r="P101" s="2"/>
    </x:row>
    <x:row r="102">
      <x:c r="C102" s="107" t="n">
        <x:v>45961</x:v>
      </x:c>
      <x:c r="D102" s="76" t="n">
        <x:f>F102*$E$24</x:f>
        <x:v>103900</x:v>
      </x:c>
      <x:c r="E102" s="76" t="n">
        <x:v>103900</x:v>
      </x:c>
      <x:c r="F102" s="76" t="n">
        <x:v>92211</x:v>
      </x:c>
      <x:c r="G102" s="111" t="n">
        <x:f>D102/$D$33*100</x:f>
        <x:v>547.3437407253517</x:v>
      </x:c>
      <x:c r="H102" s="2"/>
      <x:c r="I102" s="2"/>
      <x:c r="J102" s="2"/>
      <x:c r="K102" s="2"/>
      <x:c r="L102" s="2"/>
      <x:c r="M102" s="2"/>
      <x:c r="N102" s="2"/>
      <x:c r="O102" s="2"/>
      <x:c r="P102" s="2"/>
    </x:row>
    <x:row r="103">
      <x:c r="C103" s="2"/>
      <x:c r="D103" s="2"/>
      <x:c r="E103" s="2"/>
      <x:c r="F103" s="2"/>
      <x:c r="G103" s="2"/>
      <x:c r="H103" s="2"/>
      <x:c r="I103" s="2"/>
      <x:c r="J103" s="2"/>
      <x:c r="K103" s="2"/>
      <x:c r="L103" s="2"/>
      <x:c r="M103" s="2"/>
      <x:c r="N103" s="2"/>
      <x:c r="O103" s="2"/>
      <x:c r="P103" s="2"/>
    </x:row>
    <x:row r="104">
      <x:c r="C104" s="2"/>
      <x:c r="D104" s="2"/>
      <x:c r="E104" s="2"/>
      <x:c r="F104" s="2"/>
      <x:c r="G104" s="2"/>
      <x:c r="H104" s="2"/>
      <x:c r="I104" s="2"/>
      <x:c r="J104" s="2"/>
      <x:c r="K104" s="2"/>
      <x:c r="L104" s="2"/>
      <x:c r="M104" s="2"/>
      <x:c r="N104" s="2"/>
      <x:c r="O104" s="2"/>
      <x:c r="P104" s="2"/>
    </x:row>
  </x:sheetData>
  <x:mergeCells>
    <x:mergeCell ref="I52:P55"/>
  </x:mergeCells>
  <x:pageMargins left="0.7" right="0.7" top="0.75" bottom="0.75" header="0.3" footer="0.3"/>
  <x:drawing xmlns:r="http://schemas.openxmlformats.org/officeDocument/2006/relationships" r:id="Rc9fa684761c74436"/>
</x:worksheet>
</file>

<file path=xl/worksheets/sheet6.xml><?xml version="1.0" encoding="utf-8"?>
<x:worksheet xmlns:x="http://schemas.openxmlformats.org/spreadsheetml/2006/main">
  <x:sheetPr>
    <x:tabColor rgb="FF5B9BD5"/>
  </x:sheetPr>
  <x:sheetViews>
    <x:sheetView showGridLines="0" workbookViewId="0">
      <x:pane xSplit="4" ySplit="5" topLeftCell="E6" activePane="bottomRight" state="frozen"/>
    </x:sheetView>
  </x:sheetViews>
  <x:sheetFormatPr defaultRowHeight="15"/>
  <x:cols>
    <x:col min="1" max="1" width="3" hidden="0" customWidth="1"/>
    <x:col min="2" max="2" width="3" hidden="0" customWidth="1"/>
    <x:col min="3" max="3" width="42" hidden="0" customWidth="1"/>
    <x:col min="4" max="4" width="10" hidden="0" customWidth="1"/>
    <x:col min="5" max="5" width="13" hidden="0" customWidth="1"/>
    <x:col min="6" max="6" width="13" hidden="0" customWidth="1"/>
    <x:col min="7" max="7" width="13" hidden="0" customWidth="1"/>
    <x:col min="8" max="8" width="13" hidden="0" customWidth="1"/>
    <x:col min="9" max="9" width="13" hidden="0" customWidth="1"/>
    <x:col min="10" max="10" width="13" hidden="0" customWidth="1"/>
    <x:col min="11" max="11" width="13" hidden="0" customWidth="1"/>
    <x:col min="12" max="12" width="13" hidden="0" customWidth="1"/>
    <x:col min="13" max="13" width="13" hidden="0" customWidth="1"/>
    <x:col min="14" max="14" width="13" hidden="0" customWidth="1"/>
    <x:col min="15" max="15" width="13" hidden="0" customWidth="1"/>
  </x:cols>
  <x:sheetData>
    <x:row r="2" ht="18" hidden="0" customHeight="1">
      <x:c r="C2" s="3" t="str">
        <x:v>Segment revenue build</x:v>
      </x:c>
      <x:c r="D2" s="2"/>
      <x:c r="E2" s="2"/>
      <x:c r="F2" s="2"/>
      <x:c r="G2" s="2"/>
      <x:c r="H2" s="2"/>
      <x:c r="I2" s="2"/>
      <x:c r="J2" s="2"/>
      <x:c r="K2" s="2"/>
      <x:c r="L2" s="2"/>
      <x:c r="M2" s="2"/>
      <x:c r="N2" s="2"/>
      <x:c r="O2" s="2"/>
    </x:row>
    <x:row r="3" ht="15" hidden="0" customHeight="1">
      <x:c r="C3" s="4" t="str">
        <x:v>Audited actuals through FY2024. Forecast revenue uses the selected case and preserves consolidation eliminations.</x:v>
      </x:c>
      <x:c r="D3" s="2"/>
      <x:c r="E3" s="2"/>
      <x:c r="F3" s="2"/>
      <x:c r="G3" s="2"/>
      <x:c r="H3" s="2"/>
      <x:c r="I3" s="2"/>
      <x:c r="J3" s="2"/>
      <x:c r="K3" s="2"/>
      <x:c r="L3" s="2"/>
      <x:c r="M3" s="2"/>
      <x:c r="N3" s="2"/>
      <x:c r="O3" s="2"/>
    </x:row>
    <x:row r="4" ht="15" hidden="0" customHeight="1">
      <x:c r="C4" s="5"/>
      <x:c r="D4" s="5"/>
      <x:c r="E4" s="5"/>
      <x:c r="F4" s="5"/>
      <x:c r="G4" s="5"/>
      <x:c r="H4" s="5"/>
      <x:c r="I4" s="5"/>
      <x:c r="J4" s="5"/>
      <x:c r="K4" s="5"/>
      <x:c r="L4" s="5"/>
      <x:c r="M4" s="5"/>
      <x:c r="N4" s="5"/>
      <x:c r="O4" s="5"/>
      <x:c r="P4" s="6"/>
      <x:c r="Q4" s="6"/>
    </x:row>
    <x:row r="5" ht="15" hidden="0" customHeight="1">
      <x:c r="C5" s="21" t="str">
        <x:v>Metric</x:v>
      </x:c>
      <x:c r="D5" s="22" t="str">
        <x:v>Unit</x:v>
      </x:c>
      <x:c r="E5" s="22" t="str">
        <x:v>2020A</x:v>
      </x:c>
      <x:c r="F5" s="22" t="str">
        <x:v>2021A</x:v>
      </x:c>
      <x:c r="G5" s="22" t="str">
        <x:v>2022A</x:v>
      </x:c>
      <x:c r="H5" s="22" t="str">
        <x:v>2023A</x:v>
      </x:c>
      <x:c r="I5" s="22" t="str">
        <x:v>2024A</x:v>
      </x:c>
      <x:c r="J5" s="22" t="str">
        <x:v>2025E</x:v>
      </x:c>
      <x:c r="K5" s="22" t="str">
        <x:v>2026E</x:v>
      </x:c>
      <x:c r="L5" s="22" t="str">
        <x:v>2027E</x:v>
      </x:c>
      <x:c r="M5" s="22" t="str">
        <x:v>2028E</x:v>
      </x:c>
      <x:c r="N5" s="22" t="str">
        <x:v>2029E</x:v>
      </x:c>
      <x:c r="O5" s="23" t="str">
        <x:v>2030E</x:v>
      </x:c>
    </x:row>
    <x:row r="6" ht="15" hidden="0" customHeight="1">
      <x:c r="C6" s="2" t="str">
        <x:v>Global IT revenue</x:v>
      </x:c>
      <x:c r="D6" s="2" t="str">
        <x:v>VND bn</x:v>
      </x:c>
      <x:c r="E6" s="52" t="n">
        <x:v>10867.003</x:v>
      </x:c>
      <x:c r="F6" s="52" t="n">
        <x:v>12078.678</x:v>
      </x:c>
      <x:c r="G6" s="52" t="n">
        <x:v>18915.494</x:v>
      </x:c>
      <x:c r="H6" s="52" t="n">
        <x:v>24288.049</x:v>
      </x:c>
      <x:c r="I6" s="52" t="n">
        <x:v>30952.512</x:v>
      </x:c>
      <x:c r="J6" s="57" t="n">
        <x:f>I6*(1+'Assumptions'!E10)</x:f>
        <x:v>35131.10112</x:v>
      </x:c>
      <x:c r="K6" s="57" t="n">
        <x:f>J6*(1+'Assumptions'!F10)</x:f>
        <x:v>40400.766288</x:v>
      </x:c>
      <x:c r="L6" s="57" t="n">
        <x:f>K6*(1+'Assumptions'!G10)</x:f>
        <x:v>46460.88123119999</x:v>
      </x:c>
      <x:c r="M6" s="57" t="n">
        <x:f>L6*(1+'Assumptions'!H10)</x:f>
        <x:v>52965.404603568</x:v>
      </x:c>
      <x:c r="N6" s="57" t="n">
        <x:f>M6*(1+'Assumptions'!I10)</x:f>
        <x:v>59850.907202031834</x:v>
      </x:c>
      <x:c r="O6" s="57" t="n">
        <x:f>N6*(1+'Assumptions'!J10)</x:f>
        <x:v>67033.01606627567</x:v>
      </x:c>
    </x:row>
    <x:row r="7" ht="15" hidden="0" customHeight="1">
      <x:c r="C7" s="2" t="str">
        <x:v>  Growth</x:v>
      </x:c>
      <x:c r="D7" s="2" t="str">
        <x:v>%</x:v>
      </x:c>
      <x:c r="E7" s="49"/>
      <x:c r="F7" s="49" t="n">
        <x:f>F6/E6-1</x:f>
        <x:v>0.11150038331635681</x:v>
      </x:c>
      <x:c r="G7" s="49" t="n">
        <x:f>G6/F6-1</x:f>
        <x:v>0.5660235333701253</x:v>
      </x:c>
      <x:c r="H7" s="49" t="n">
        <x:f>H6/G6-1</x:f>
        <x:v>0.28402932537738645</x:v>
      </x:c>
      <x:c r="I7" s="49" t="n">
        <x:f>I6/H6-1</x:f>
        <x:v>0.2743926858843211</x:v>
      </x:c>
      <x:c r="J7" s="49" t="n">
        <x:f>J6/I6-1</x:f>
        <x:v>0.135</x:v>
      </x:c>
      <x:c r="K7" s="49" t="n">
        <x:f>K6/J6-1</x:f>
        <x:v>0.1499999999999999</x:v>
      </x:c>
      <x:c r="L7" s="49" t="n">
        <x:f>L6/K6-1</x:f>
        <x:v>0.1499999999999999</x:v>
      </x:c>
      <x:c r="M7" s="49" t="n">
        <x:f>M6/L6-1</x:f>
        <x:v>0.14000000000000012</x:v>
      </x:c>
      <x:c r="N7" s="49" t="n">
        <x:f>N6/M6-1</x:f>
        <x:v>0.1299999999999999</x:v>
      </x:c>
      <x:c r="O7" s="49" t="n">
        <x:f>O6/N6-1</x:f>
        <x:v>0.12000000000000033</x:v>
      </x:c>
    </x:row>
    <x:row r="8" ht="15" hidden="0" customHeight="1">
      <x:c r="C8" s="2" t="str"/>
      <x:c r="D8" s="2" t="str"/>
      <x:c r="E8" s="52"/>
      <x:c r="F8" s="52"/>
      <x:c r="G8" s="52"/>
      <x:c r="H8" s="52"/>
      <x:c r="I8" s="52"/>
      <x:c r="J8" s="57"/>
      <x:c r="K8" s="57"/>
      <x:c r="L8" s="57"/>
      <x:c r="M8" s="57"/>
      <x:c r="N8" s="57"/>
      <x:c r="O8" s="57"/>
    </x:row>
    <x:row r="9" ht="15" hidden="0" customHeight="1">
      <x:c r="C9" s="2" t="str">
        <x:v>Domestic IT revenue</x:v>
      </x:c>
      <x:c r="D9" s="2" t="str">
        <x:v>VND bn</x:v>
      </x:c>
      <x:c r="E9" s="52" t="n">
        <x:v>4804.672</x:v>
      </x:c>
      <x:c r="F9" s="52" t="n">
        <x:v>6331.443</x:v>
      </x:c>
      <x:c r="G9" s="52" t="n">
        <x:v>6847.408</x:v>
      </x:c>
      <x:c r="H9" s="52" t="n">
        <x:v>7161.056</x:v>
      </x:c>
      <x:c r="I9" s="52" t="n">
        <x:v>8157.364</x:v>
      </x:c>
      <x:c r="J9" s="57" t="n">
        <x:f>I9*(1+'Assumptions'!E14)</x:f>
        <x:v>8402.08492</x:v>
      </x:c>
      <x:c r="K9" s="57" t="n">
        <x:f>J9*(1+'Assumptions'!F14)</x:f>
        <x:v>9074.2517136</x:v>
      </x:c>
      <x:c r="L9" s="57" t="n">
        <x:f>K9*(1+'Assumptions'!G14)</x:f>
        <x:v>9890.934367824002</x:v>
      </x:c>
      <x:c r="M9" s="57" t="n">
        <x:f>L9*(1+'Assumptions'!H14)</x:f>
        <x:v>10781.118460928163</x:v>
      </x:c>
      <x:c r="N9" s="57" t="n">
        <x:f>M9*(1+'Assumptions'!I14)</x:f>
        <x:v>11643.607937802417</x:v>
      </x:c>
      <x:c r="O9" s="57" t="n">
        <x:f>N9*(1+'Assumptions'!J14)</x:f>
        <x:v>12575.096572826611</x:v>
      </x:c>
    </x:row>
    <x:row r="10" ht="15" hidden="0" customHeight="1">
      <x:c r="C10" s="2" t="str">
        <x:v>  Growth</x:v>
      </x:c>
      <x:c r="D10" s="2" t="str">
        <x:v>%</x:v>
      </x:c>
      <x:c r="E10" s="49"/>
      <x:c r="F10" s="49" t="n">
        <x:f>F9/E9-1</x:f>
        <x:v>0.31776799748245055</x:v>
      </x:c>
      <x:c r="G10" s="49" t="n">
        <x:f>G9/F9-1</x:f>
        <x:v>0.08149248125585284</x:v>
      </x:c>
      <x:c r="H10" s="49" t="n">
        <x:f>H9/G9-1</x:f>
        <x:v>0.04580536167846283</x:v>
      </x:c>
      <x:c r="I10" s="49" t="n">
        <x:f>I9/H9-1</x:f>
        <x:v>0.13912864247954482</x:v>
      </x:c>
      <x:c r="J10" s="49" t="n">
        <x:f>J9/I9-1</x:f>
        <x:v>0.030000000000000027</x:v>
      </x:c>
      <x:c r="K10" s="49" t="n">
        <x:f>K9/J9-1</x:f>
        <x:v>0.08000000000000007</x:v>
      </x:c>
      <x:c r="L10" s="49" t="n">
        <x:f>L9/K9-1</x:f>
        <x:v>0.09000000000000008</x:v>
      </x:c>
      <x:c r="M10" s="49" t="n">
        <x:f>M9/L9-1</x:f>
        <x:v>0.09000000000000008</x:v>
      </x:c>
      <x:c r="N10" s="49" t="n">
        <x:f>N9/M9-1</x:f>
        <x:v>0.08000000000000007</x:v>
      </x:c>
      <x:c r="O10" s="49" t="n">
        <x:f>O9/N9-1</x:f>
        <x:v>0.08000000000000007</x:v>
      </x:c>
    </x:row>
    <x:row r="11" ht="15" hidden="0" customHeight="1">
      <x:c r="C11" s="2" t="str"/>
      <x:c r="D11" s="2" t="str"/>
      <x:c r="E11" s="52"/>
      <x:c r="F11" s="52"/>
      <x:c r="G11" s="52"/>
      <x:c r="H11" s="52"/>
      <x:c r="I11" s="52"/>
      <x:c r="J11" s="57"/>
      <x:c r="K11" s="57"/>
      <x:c r="L11" s="57"/>
      <x:c r="M11" s="57"/>
      <x:c r="N11" s="57"/>
      <x:c r="O11" s="57"/>
    </x:row>
    <x:row r="12" ht="15" hidden="0" customHeight="1">
      <x:c r="C12" s="2" t="str">
        <x:v>Telecom revenue</x:v>
      </x:c>
      <x:c r="D12" s="2" t="str">
        <x:v>VND bn</x:v>
      </x:c>
      <x:c r="E12" s="52" t="n">
        <x:v>12000.26</x:v>
      </x:c>
      <x:c r="F12" s="52" t="n">
        <x:v>14540.801</x:v>
      </x:c>
      <x:c r="G12" s="52" t="n">
        <x:v>13954.22</x:v>
      </x:c>
      <x:c r="H12" s="52" t="n">
        <x:v>15185.852</x:v>
      </x:c>
      <x:c r="I12" s="52" t="n">
        <x:v>16905.897</x:v>
      </x:c>
      <x:c r="J12" s="57" t="n">
        <x:f>I12*(1+'Assumptions'!E18)</x:f>
        <x:v>18934.60464</x:v>
      </x:c>
      <x:c r="K12" s="57" t="n">
        <x:f>J12*(1+'Assumptions'!F18)</x:f>
        <x:v>21017.411150400003</x:v>
      </x:c>
      <x:c r="L12" s="57" t="n">
        <x:f>K12*(1+'Assumptions'!G18)</x:f>
        <x:v>23119.152265440007</x:v>
      </x:c>
      <x:c r="M12" s="57" t="n">
        <x:f>L12*(1+'Assumptions'!H18)</x:f>
        <x:v>25431.06749198401</x:v>
      </x:c>
      <x:c r="N12" s="57" t="n">
        <x:f>M12*(1+'Assumptions'!I18)</x:f>
        <x:v>27719.86356626257</x:v>
      </x:c>
      <x:c r="O12" s="57" t="n">
        <x:f>N12*(1+'Assumptions'!J18)</x:f>
        <x:v>30214.651287226206</x:v>
      </x:c>
    </x:row>
    <x:row r="13" ht="15" hidden="0" customHeight="1">
      <x:c r="C13" s="2" t="str">
        <x:v>  Growth</x:v>
      </x:c>
      <x:c r="D13" s="2" t="str">
        <x:v>%</x:v>
      </x:c>
      <x:c r="E13" s="49"/>
      <x:c r="F13" s="49" t="n">
        <x:f>F12/E12-1</x:f>
        <x:v>0.21170716301146797</x:v>
      </x:c>
      <x:c r="G13" s="49" t="n">
        <x:f>G12/F12-1</x:f>
        <x:v>-0.040340349888565274</x:v>
      </x:c>
      <x:c r="H13" s="49" t="n">
        <x:f>H12/G12-1</x:f>
        <x:v>0.08826233211171974</x:v>
      </x:c>
      <x:c r="I13" s="49" t="n">
        <x:f>I12/H12-1</x:f>
        <x:v>0.11326628232647074</x:v>
      </x:c>
      <x:c r="J13" s="49" t="n">
        <x:f>J12/I12-1</x:f>
        <x:v>0.1200000000000001</x:v>
      </x:c>
      <x:c r="K13" s="49" t="n">
        <x:f>K12/J12-1</x:f>
        <x:v>0.1100000000000001</x:v>
      </x:c>
      <x:c r="L13" s="49" t="n">
        <x:f>L12/K12-1</x:f>
        <x:v>0.10000000000000009</x:v>
      </x:c>
      <x:c r="M13" s="49" t="n">
        <x:f>M12/L12-1</x:f>
        <x:v>0.10000000000000009</x:v>
      </x:c>
      <x:c r="N13" s="49" t="n">
        <x:f>N12/M12-1</x:f>
        <x:v>0.09000000000000008</x:v>
      </x:c>
      <x:c r="O13" s="49" t="n">
        <x:f>O12/N12-1</x:f>
        <x:v>0.09000000000000008</x:v>
      </x:c>
    </x:row>
    <x:row r="14" ht="15" hidden="0" customHeight="1">
      <x:c r="C14" s="2" t="str"/>
      <x:c r="D14" s="2" t="str"/>
      <x:c r="E14" s="52"/>
      <x:c r="F14" s="52"/>
      <x:c r="G14" s="52"/>
      <x:c r="H14" s="52"/>
      <x:c r="I14" s="52"/>
      <x:c r="J14" s="57"/>
      <x:c r="K14" s="57"/>
      <x:c r="L14" s="57"/>
      <x:c r="M14" s="57"/>
      <x:c r="N14" s="57"/>
      <x:c r="O14" s="57"/>
    </x:row>
    <x:row r="15" ht="15" hidden="0" customHeight="1">
      <x:c r="C15" s="2" t="str">
        <x:v>Digital content revenue</x:v>
      </x:c>
      <x:c r="D15" s="2" t="str">
        <x:v>VND bn</x:v>
      </x:c>
      <x:c r="E15" s="52" t="n">
        <x:v>599.151</x:v>
      </x:c>
      <x:c r="F15" s="52" t="n">
        <x:v>607.738</x:v>
      </x:c>
      <x:c r="G15" s="52" t="n">
        <x:v>775.429</x:v>
      </x:c>
      <x:c r="H15" s="52" t="n">
        <x:v>619.959</x:v>
      </x:c>
      <x:c r="I15" s="52" t="n">
        <x:v>704.503</x:v>
      </x:c>
      <x:c r="J15" s="57" t="n">
        <x:f>I15*(1+'Assumptions'!E22)</x:f>
        <x:v>803.1334200000001</x:v>
      </x:c>
      <x:c r="K15" s="57" t="n">
        <x:f>J15*(1+'Assumptions'!F22)</x:f>
        <x:v>899.5094304000003</x:v>
      </x:c>
      <x:c r="L15" s="57" t="n">
        <x:f>K15*(1+'Assumptions'!G22)</x:f>
        <x:v>989.4603734400004</x:v>
      </x:c>
      <x:c r="M15" s="57" t="n">
        <x:f>L15*(1+'Assumptions'!H22)</x:f>
        <x:v>1088.4064107840004</x:v>
      </x:c>
      <x:c r="N15" s="57" t="n">
        <x:f>M15*(1+'Assumptions'!I22)</x:f>
        <x:v>1175.4789236467204</x:v>
      </x:c>
      <x:c r="O15" s="57" t="n">
        <x:f>N15*(1+'Assumptions'!J22)</x:f>
        <x:v>1269.5172375384582</x:v>
      </x:c>
    </x:row>
    <x:row r="16" ht="15" hidden="0" customHeight="1">
      <x:c r="C16" s="2" t="str">
        <x:v>  Growth</x:v>
      </x:c>
      <x:c r="D16" s="2" t="str">
        <x:v>%</x:v>
      </x:c>
      <x:c r="E16" s="49"/>
      <x:c r="F16" s="49" t="n">
        <x:f>F15/E15-1</x:f>
        <x:v>0.01433194637078139</x:v>
      </x:c>
      <x:c r="G16" s="49" t="n">
        <x:f>G15/F15-1</x:f>
        <x:v>0.2759264683136482</x:v>
      </x:c>
      <x:c r="H16" s="49" t="n">
        <x:f>H15/G15-1</x:f>
        <x:v>-0.20049546767015425</x:v>
      </x:c>
      <x:c r="I16" s="49" t="n">
        <x:f>I15/H15-1</x:f>
        <x:v>0.13637030835910124</x:v>
      </x:c>
      <x:c r="J16" s="49" t="n">
        <x:f>J15/I15-1</x:f>
        <x:v>0.14000000000000012</x:v>
      </x:c>
      <x:c r="K16" s="49" t="n">
        <x:f>K15/J15-1</x:f>
        <x:v>0.1200000000000001</x:v>
      </x:c>
      <x:c r="L16" s="49" t="n">
        <x:f>L15/K15-1</x:f>
        <x:v>0.10000000000000009</x:v>
      </x:c>
      <x:c r="M16" s="49" t="n">
        <x:f>M15/L15-1</x:f>
        <x:v>0.10000000000000009</x:v>
      </x:c>
      <x:c r="N16" s="49" t="n">
        <x:f>N15/M15-1</x:f>
        <x:v>0.08000000000000007</x:v>
      </x:c>
      <x:c r="O16" s="49" t="n">
        <x:f>O15/N15-1</x:f>
        <x:v>0.08000000000000007</x:v>
      </x:c>
    </x:row>
    <x:row r="17" ht="15" hidden="0" customHeight="1">
      <x:c r="C17" s="2" t="str"/>
      <x:c r="D17" s="2" t="str"/>
      <x:c r="E17" s="52"/>
      <x:c r="F17" s="52"/>
      <x:c r="G17" s="52"/>
      <x:c r="H17" s="52"/>
      <x:c r="I17" s="52"/>
      <x:c r="J17" s="57"/>
      <x:c r="K17" s="57"/>
      <x:c r="L17" s="57"/>
      <x:c r="M17" s="57"/>
      <x:c r="N17" s="57"/>
      <x:c r="O17" s="57"/>
    </x:row>
    <x:row r="18" ht="15" hidden="0" customHeight="1">
      <x:c r="C18" s="2" t="str">
        <x:v>Education, investment and other revenue</x:v>
      </x:c>
      <x:c r="D18" s="2" t="str">
        <x:v>VND bn</x:v>
      </x:c>
      <x:c r="E18" s="52" t="n">
        <x:v>2187.175</x:v>
      </x:c>
      <x:c r="F18" s="52" t="n">
        <x:v>3237.52</x:v>
      </x:c>
      <x:c r="G18" s="52" t="n">
        <x:v>5066.948</x:v>
      </x:c>
      <x:c r="H18" s="52" t="n">
        <x:v>6572.8</x:v>
      </x:c>
      <x:c r="I18" s="52" t="n">
        <x:v>7444.159</x:v>
      </x:c>
      <x:c r="J18" s="57" t="n">
        <x:f>I18*(1+'Assumptions'!E26)</x:f>
        <x:v>7816.36695</x:v>
      </x:c>
      <x:c r="K18" s="57" t="n">
        <x:f>J18*(1+'Assumptions'!F26)</x:f>
        <x:v>8441.676306</x:v>
      </x:c>
      <x:c r="L18" s="57" t="n">
        <x:f>K18*(1+'Assumptions'!G26)</x:f>
        <x:v>9117.01041048</x:v>
      </x:c>
      <x:c r="M18" s="57" t="n">
        <x:f>L18*(1+'Assumptions'!H26)</x:f>
        <x:v>9846.3712433184</x:v>
      </x:c>
      <x:c r="N18" s="57" t="n">
        <x:f>M18*(1+'Assumptions'!I26)</x:f>
        <x:v>10634.080942783872</x:v>
      </x:c>
      <x:c r="O18" s="57" t="n">
        <x:f>N18*(1+'Assumptions'!J26)</x:f>
        <x:v>11484.807418206583</x:v>
      </x:c>
    </x:row>
    <x:row r="19" ht="15" hidden="0" customHeight="1">
      <x:c r="C19" s="2" t="str">
        <x:v>  Growth</x:v>
      </x:c>
      <x:c r="D19" s="2" t="str">
        <x:v>%</x:v>
      </x:c>
      <x:c r="E19" s="49"/>
      <x:c r="F19" s="49" t="n">
        <x:f>F18/E18-1</x:f>
        <x:v>0.4802290626035868</x:v>
      </x:c>
      <x:c r="G19" s="49" t="n">
        <x:f>G18/F18-1</x:f>
        <x:v>0.5650707949294522</x:v>
      </x:c>
      <x:c r="H19" s="49" t="n">
        <x:f>H18/G18-1</x:f>
        <x:v>0.2971911296504326</x:v>
      </x:c>
      <x:c r="I19" s="49" t="n">
        <x:f>I18/H18-1</x:f>
        <x:v>0.13257044182083733</x:v>
      </x:c>
      <x:c r="J19" s="49" t="n">
        <x:f>J18/I18-1</x:f>
        <x:v>0.050000000000000044</x:v>
      </x:c>
      <x:c r="K19" s="49" t="n">
        <x:f>K18/J18-1</x:f>
        <x:v>0.08000000000000007</x:v>
      </x:c>
      <x:c r="L19" s="49" t="n">
        <x:f>L18/K18-1</x:f>
        <x:v>0.08000000000000007</x:v>
      </x:c>
      <x:c r="M19" s="49" t="n">
        <x:f>M18/L18-1</x:f>
        <x:v>0.08000000000000007</x:v>
      </x:c>
      <x:c r="N19" s="49" t="n">
        <x:f>N18/M18-1</x:f>
        <x:v>0.08000000000000007</x:v>
      </x:c>
      <x:c r="O19" s="49" t="n">
        <x:f>O18/N18-1</x:f>
        <x:v>0.08000000000000007</x:v>
      </x:c>
    </x:row>
    <x:row r="20" ht="15" hidden="0" customHeight="1">
      <x:c r="C20" s="2" t="str"/>
      <x:c r="D20" s="2" t="str"/>
      <x:c r="E20" s="52"/>
      <x:c r="F20" s="52"/>
      <x:c r="G20" s="52"/>
      <x:c r="H20" s="52"/>
      <x:c r="I20" s="52"/>
      <x:c r="J20" s="57"/>
      <x:c r="K20" s="57"/>
      <x:c r="L20" s="57"/>
      <x:c r="M20" s="57"/>
      <x:c r="N20" s="57"/>
      <x:c r="O20" s="57"/>
    </x:row>
    <x:row r="21" ht="15" hidden="0" customHeight="1">
      <x:c r="C21" s="58" t="str">
        <x:v>Gross segment revenue</x:v>
      </x:c>
      <x:c r="D21" s="58" t="str">
        <x:v>VND bn</x:v>
      </x:c>
      <x:c r="E21" s="59" t="n">
        <x:f>SUM(E6,E9,E12,E15,E18)</x:f>
        <x:v>30458.261</x:v>
      </x:c>
      <x:c r="F21" s="59" t="n">
        <x:f>SUM(F6,F9,F12,F15,F18)</x:f>
        <x:v>36796.17999999999</x:v>
      </x:c>
      <x:c r="G21" s="59" t="n">
        <x:f>SUM(G6,G9,G12,G15,G18)</x:f>
        <x:v>45559.498999999996</x:v>
      </x:c>
      <x:c r="H21" s="59" t="n">
        <x:f>SUM(H6,H9,H12,H15,H18)</x:f>
        <x:v>53827.71600000001</x:v>
      </x:c>
      <x:c r="I21" s="59" t="n">
        <x:f>SUM(I6,I9,I12,I15,I18)</x:f>
        <x:v>64164.435</x:v>
      </x:c>
      <x:c r="J21" s="59" t="n">
        <x:f>SUM(J6,J9,J12,J15,J18)</x:f>
        <x:v>71087.29105</x:v>
      </x:c>
      <x:c r="K21" s="59" t="n">
        <x:f>SUM(K6,K9,K12,K15,K18)</x:f>
        <x:v>79833.61488839998</x:v>
      </x:c>
      <x:c r="L21" s="59" t="n">
        <x:f>SUM(L6,L9,L12,L15,L18)</x:f>
        <x:v>89577.438648384</x:v>
      </x:c>
      <x:c r="M21" s="59" t="n">
        <x:f>SUM(M6,M9,M12,M15,M18)</x:f>
        <x:v>100112.36821058256</x:v>
      </x:c>
      <x:c r="N21" s="59" t="n">
        <x:f>SUM(N6,N9,N12,N15,N18)</x:f>
        <x:v>111023.93857252742</x:v>
      </x:c>
      <x:c r="O21" s="59" t="n">
        <x:f>SUM(O6,O9,O12,O15,O18)</x:f>
        <x:v>122577.08858207354</x:v>
      </x:c>
    </x:row>
    <x:row r="22" ht="15" hidden="0" customHeight="1">
      <x:c r="C22" s="2" t="str">
        <x:v>Consolidation elimination revenue</x:v>
      </x:c>
      <x:c r="D22" s="2" t="str">
        <x:v>VND bn</x:v>
      </x:c>
      <x:c r="E22" s="52" t="n">
        <x:v>-627.86</x:v>
      </x:c>
      <x:c r="F22" s="52" t="n">
        <x:v>-1138.917</x:v>
      </x:c>
      <x:c r="G22" s="52" t="n">
        <x:v>-1549.971</x:v>
      </x:c>
      <x:c r="H22" s="52" t="n">
        <x:v>-1209.815</x:v>
      </x:c>
      <x:c r="I22" s="52" t="n">
        <x:v>-1315.641</x:v>
      </x:c>
      <x:c r="J22" s="57" t="n">
        <x:f>J21*'Assumptions'!E30</x:f>
        <x:v>-1421.745821</x:v>
      </x:c>
      <x:c r="K22" s="57" t="n">
        <x:f>K21*'Assumptions'!F30</x:f>
        <x:v>-1596.6722977679997</x:v>
      </x:c>
      <x:c r="L22" s="57" t="n">
        <x:f>L21*'Assumptions'!G30</x:f>
        <x:v>-1791.5487729676802</x:v>
      </x:c>
      <x:c r="M22" s="57" t="n">
        <x:f>M21*'Assumptions'!H30</x:f>
        <x:v>-2002.2473642116513</x:v>
      </x:c>
      <x:c r="N22" s="57" t="n">
        <x:f>N21*'Assumptions'!I30</x:f>
        <x:v>-2220.4787714505483</x:v>
      </x:c>
      <x:c r="O22" s="57" t="n">
        <x:f>O21*'Assumptions'!J30</x:f>
        <x:v>-2451.541771641471</x:v>
      </x:c>
    </x:row>
    <x:row r="23" ht="15" hidden="0" customHeight="1">
      <x:c r="C23" s="2" t="str">
        <x:v>  Elimination / gross segment revenue</x:v>
      </x:c>
      <x:c r="D23" s="2" t="str">
        <x:v>%</x:v>
      </x:c>
      <x:c r="E23" s="49" t="n">
        <x:f>E22/E21</x:f>
        <x:v>-0.020613783564334156</x:v>
      </x:c>
      <x:c r="F23" s="49" t="n">
        <x:f>F22/F21</x:f>
        <x:v>-0.030952044478530113</x:v>
      </x:c>
      <x:c r="G23" s="49" t="n">
        <x:f>G22/G21</x:f>
        <x:v>-0.0340208087011668</x:v>
      </x:c>
      <x:c r="H23" s="49" t="n">
        <x:f>H22/H21</x:f>
        <x:v>-0.022475688918326013</x:v>
      </x:c>
      <x:c r="I23" s="49" t="n">
        <x:f>I22/I21</x:f>
        <x:v>-0.02050420922431562</x:v>
      </x:c>
      <x:c r="J23" s="49" t="n">
        <x:f>J22/J21</x:f>
        <x:v>-0.02</x:v>
      </x:c>
      <x:c r="K23" s="49" t="n">
        <x:f>K22/K21</x:f>
        <x:v>-0.02</x:v>
      </x:c>
      <x:c r="L23" s="49" t="n">
        <x:f>L22/L21</x:f>
        <x:v>-0.02</x:v>
      </x:c>
      <x:c r="M23" s="49" t="n">
        <x:f>M22/M21</x:f>
        <x:v>-0.02</x:v>
      </x:c>
      <x:c r="N23" s="49" t="n">
        <x:f>N22/N21</x:f>
        <x:v>-0.02</x:v>
      </x:c>
      <x:c r="O23" s="49" t="n">
        <x:f>O22/O21</x:f>
        <x:v>-0.02</x:v>
      </x:c>
    </x:row>
    <x:row r="24" ht="15" hidden="0" customHeight="1">
      <x:c r="C24" s="58" t="str">
        <x:v>Group revenue</x:v>
      </x:c>
      <x:c r="D24" s="58" t="str">
        <x:v>VND bn</x:v>
      </x:c>
      <x:c r="E24" s="59" t="n">
        <x:f>E21+E22</x:f>
        <x:v>29830.400999999998</x:v>
      </x:c>
      <x:c r="F24" s="59" t="n">
        <x:f>F21+F22</x:f>
        <x:v>35657.26299999999</x:v>
      </x:c>
      <x:c r="G24" s="59" t="n">
        <x:f>G21+G22</x:f>
        <x:v>44009.528</x:v>
      </x:c>
      <x:c r="H24" s="59" t="n">
        <x:f>H21+H22</x:f>
        <x:v>52617.901000000005</x:v>
      </x:c>
      <x:c r="I24" s="59" t="n">
        <x:f>I21+I22</x:f>
        <x:v>62848.793999999994</x:v>
      </x:c>
      <x:c r="J24" s="59" t="n">
        <x:f>J21+J22</x:f>
        <x:v>69665.545229</x:v>
      </x:c>
      <x:c r="K24" s="59" t="n">
        <x:f>K21+K22</x:f>
        <x:v>78236.94259063198</x:v>
      </x:c>
      <x:c r="L24" s="59" t="n">
        <x:f>L21+L22</x:f>
        <x:v>87785.88987541632</x:v>
      </x:c>
      <x:c r="M24" s="59" t="n">
        <x:f>M21+M22</x:f>
        <x:v>98110.1208463709</x:v>
      </x:c>
      <x:c r="N24" s="59" t="n">
        <x:f>N21+N22</x:f>
        <x:v>108803.45980107687</x:v>
      </x:c>
      <x:c r="O24" s="59" t="n">
        <x:f>O21+O22</x:f>
        <x:v>120125.54681043208</x:v>
      </x:c>
    </x:row>
    <x:row r="25" ht="15" hidden="0" customHeight="1">
      <x:c r="C25" s="2" t="str">
        <x:v>  Group revenue growth</x:v>
      </x:c>
      <x:c r="D25" s="2" t="str">
        <x:v>%</x:v>
      </x:c>
      <x:c r="E25" s="49"/>
      <x:c r="F25" s="49" t="n">
        <x:f>F24/E24-1</x:f>
        <x:v>0.1953330094355752</x:v>
      </x:c>
      <x:c r="G25" s="49" t="n">
        <x:f>G24/F24-1</x:f>
        <x:v>0.23423741188436153</x:v>
      </x:c>
      <x:c r="H25" s="49" t="n">
        <x:f>H24/G24-1</x:f>
        <x:v>0.1956024840802657</x:v>
      </x:c>
      <x:c r="I25" s="49" t="n">
        <x:f>I24/H24-1</x:f>
        <x:v>0.19443749761131657</x:v>
      </x:c>
      <x:c r="J25" s="49" t="n">
        <x:f>J24/I24-1</x:f>
        <x:v>0.10846272132127144</x:v>
      </x:c>
      <x:c r="K25" s="49" t="n">
        <x:f>K24/J24-1</x:f>
        <x:v>0.12303639242981101</x:v>
      </x:c>
      <x:c r="L25" s="49" t="n">
        <x:f>L24/K24-1</x:f>
        <x:v>0.12205164170011584</x:v>
      </x:c>
      <x:c r="M25" s="49" t="n">
        <x:f>M24/L24-1</x:f>
        <x:v>0.11760695238843599</x:v>
      </x:c>
      <x:c r="N25" s="49" t="n">
        <x:f>N24/M24-1</x:f>
        <x:v>0.10899322987737925</x:v>
      </x:c>
      <x:c r="O25" s="49" t="n">
        <x:f>O24/N24-1</x:f>
        <x:v>0.1040599906478632</x:v>
      </x:c>
    </x:row>
    <x:row r="26" ht="15" hidden="0" customHeight="1">
      <x:c r="C26" s="2" t="str"/>
      <x:c r="D26" s="2" t="str"/>
      <x:c r="E26" s="52"/>
      <x:c r="F26" s="52"/>
      <x:c r="G26" s="52"/>
      <x:c r="H26" s="52"/>
      <x:c r="I26" s="52"/>
      <x:c r="J26" s="53"/>
      <x:c r="K26" s="53"/>
      <x:c r="L26" s="53"/>
      <x:c r="M26" s="53"/>
      <x:c r="N26" s="53"/>
      <x:c r="O26" s="53"/>
    </x:row>
    <x:row r="27" ht="15" hidden="0" customHeight="1">
      <x:c r="C27" s="58" t="str">
        <x:v>Group profit before tax</x:v>
      </x:c>
      <x:c r="D27" s="58" t="str">
        <x:v>VND bn</x:v>
      </x:c>
      <x:c r="E27" s="60" t="n">
        <x:v>5263.457</x:v>
      </x:c>
      <x:c r="F27" s="60" t="n">
        <x:v>6337.206</x:v>
      </x:c>
      <x:c r="G27" s="60" t="n">
        <x:v>7662.283</x:v>
      </x:c>
      <x:c r="H27" s="60" t="n">
        <x:v>9203.006</x:v>
      </x:c>
      <x:c r="I27" s="60" t="n">
        <x:v>11069.666</x:v>
      </x:c>
      <x:c r="J27" s="59"/>
      <x:c r="K27" s="59"/>
      <x:c r="L27" s="59"/>
      <x:c r="M27" s="59"/>
      <x:c r="N27" s="59"/>
      <x:c r="O27" s="59"/>
    </x:row>
    <x:row r="28" ht="15" hidden="0" customHeight="1">
      <x:c r="C28" s="2" t="str">
        <x:v>  PBT margin</x:v>
      </x:c>
      <x:c r="D28" s="2" t="str">
        <x:v>%</x:v>
      </x:c>
      <x:c r="E28" s="49" t="n">
        <x:f>E27/E24</x:f>
        <x:v>0.17644606922984377</x:v>
      </x:c>
      <x:c r="F28" s="49" t="n">
        <x:f>F27/F24</x:f>
        <x:v>0.17772553098088323</x:v>
      </x:c>
      <x:c r="G28" s="49" t="n">
        <x:f>G27/G24</x:f>
        <x:v>0.1741050937878725</x:v>
      </x:c>
      <x:c r="H28" s="49" t="n">
        <x:f>H27/H24</x:f>
        <x:v>0.1749025678542365</x:v>
      </x:c>
      <x:c r="I28" s="49" t="n">
        <x:f>I27/I24</x:f>
        <x:v>0.17613171702228686</x:v>
      </x:c>
      <x:c r="J28" s="49"/>
      <x:c r="K28" s="49"/>
      <x:c r="L28" s="49"/>
      <x:c r="M28" s="49"/>
      <x:c r="N28" s="49"/>
      <x:c r="O28" s="49"/>
    </x:row>
    <x:row r="29" ht="15" hidden="0" customHeight="1">
      <x:c r="C29" s="2"/>
      <x:c r="D29" s="2"/>
      <x:c r="E29" s="2"/>
      <x:c r="F29" s="2"/>
      <x:c r="G29" s="2"/>
      <x:c r="H29" s="2"/>
      <x:c r="I29" s="2"/>
      <x:c r="J29" s="2"/>
      <x:c r="K29" s="2"/>
      <x:c r="L29" s="2"/>
      <x:c r="M29" s="2"/>
      <x:c r="N29" s="2"/>
      <x:c r="O29" s="2"/>
    </x:row>
    <x:row r="30" ht="15" hidden="0" customHeight="1">
      <x:c r="C30" s="2"/>
      <x:c r="D30" s="2"/>
      <x:c r="E30" s="2"/>
      <x:c r="F30" s="2"/>
      <x:c r="G30" s="2"/>
      <x:c r="H30" s="2"/>
      <x:c r="I30" s="2"/>
      <x:c r="J30" s="2"/>
      <x:c r="K30" s="2"/>
      <x:c r="L30" s="2"/>
      <x:c r="M30" s="2"/>
      <x:c r="N30" s="2"/>
      <x:c r="O30" s="2"/>
    </x:row>
    <x:row r="31" ht="15" hidden="0" customHeight="1">
      <x:c r="C31" s="2"/>
      <x:c r="D31" s="2"/>
      <x:c r="E31" s="2"/>
      <x:c r="F31" s="2"/>
      <x:c r="G31" s="2"/>
      <x:c r="H31" s="2"/>
      <x:c r="I31" s="2"/>
      <x:c r="J31" s="2"/>
      <x:c r="K31" s="2"/>
      <x:c r="L31" s="2"/>
      <x:c r="M31" s="2"/>
      <x:c r="N31" s="2"/>
      <x:c r="O31" s="2"/>
    </x:row>
    <x:row r="32" ht="15" hidden="0" customHeight="1">
      <x:c r="C32" s="2"/>
      <x:c r="D32" s="2"/>
      <x:c r="E32" s="2"/>
      <x:c r="F32" s="2"/>
      <x:c r="G32" s="2"/>
      <x:c r="H32" s="2"/>
      <x:c r="I32" s="2"/>
      <x:c r="J32" s="2"/>
      <x:c r="K32" s="2"/>
      <x:c r="L32" s="2"/>
      <x:c r="M32" s="2"/>
      <x:c r="N32" s="2"/>
      <x:c r="O32" s="2"/>
    </x:row>
    <x:row r="33" ht="15" hidden="0" customHeight="1">
      <x:c r="C33" s="2"/>
      <x:c r="D33" s="2"/>
      <x:c r="E33" s="2"/>
      <x:c r="F33" s="2"/>
      <x:c r="G33" s="2"/>
      <x:c r="H33" s="2"/>
      <x:c r="I33" s="2"/>
      <x:c r="J33" s="2"/>
      <x:c r="K33" s="2"/>
      <x:c r="L33" s="2"/>
      <x:c r="M33" s="2"/>
      <x:c r="N33" s="2"/>
      <x:c r="O33" s="2"/>
    </x:row>
    <x:row r="34" ht="15" hidden="0" customHeight="1">
      <x:c r="C34" s="2"/>
      <x:c r="D34" s="2"/>
      <x:c r="E34" s="2"/>
      <x:c r="F34" s="2"/>
      <x:c r="G34" s="2"/>
      <x:c r="H34" s="2"/>
      <x:c r="I34" s="2"/>
      <x:c r="J34" s="2"/>
      <x:c r="K34" s="2"/>
      <x:c r="L34" s="2"/>
      <x:c r="M34" s="2"/>
      <x:c r="N34" s="2"/>
      <x:c r="O34" s="2"/>
    </x:row>
    <x:row r="35" ht="15" hidden="0" customHeight="1">
      <x:c r="C35" s="2"/>
      <x:c r="D35" s="2"/>
      <x:c r="E35" s="2"/>
      <x:c r="F35" s="2"/>
      <x:c r="G35" s="2"/>
      <x:c r="H35" s="2"/>
      <x:c r="I35" s="2"/>
      <x:c r="J35" s="2"/>
      <x:c r="K35" s="2"/>
      <x:c r="L35" s="2"/>
      <x:c r="M35" s="2"/>
      <x:c r="N35" s="2"/>
      <x:c r="O35" s="2"/>
    </x:row>
    <x:row r="36" ht="15" hidden="0" customHeight="1">
      <x:c r="C36" s="2"/>
      <x:c r="D36" s="2"/>
      <x:c r="E36" s="2"/>
      <x:c r="F36" s="2"/>
      <x:c r="G36" s="2"/>
      <x:c r="H36" s="2"/>
      <x:c r="I36" s="2"/>
      <x:c r="J36" s="2"/>
      <x:c r="K36" s="2"/>
      <x:c r="L36" s="2"/>
      <x:c r="M36" s="2"/>
      <x:c r="N36" s="2"/>
      <x:c r="O36" s="2"/>
    </x:row>
    <x:row r="37"/>
    <x:row r="38"/>
    <x:row r="39"/>
    <x:row r="40"/>
    <x:row r="41"/>
    <x:row r="42"/>
    <x:row r="43"/>
    <x:row r="44"/>
    <x:row r="45"/>
    <x:row r="46"/>
    <x:row r="47"/>
    <x:row r="48"/>
    <x:row r="49"/>
    <x:row r="50"/>
    <x:row r="51"/>
    <x:row r="52"/>
    <x:row r="53"/>
    <x:row r="54"/>
    <x:row r="55"/>
    <x:row r="56"/>
    <x:row r="57"/>
    <x:row r="58"/>
    <x:row r="59"/>
    <x:row r="60"/>
  </x:sheetData>
  <x:pageMargins left="0.7" right="0.7" top="0.75" bottom="0.75" header="0.3" footer="0.3"/>
</x:worksheet>
</file>

<file path=xl/worksheets/sheet7.xml><?xml version="1.0" encoding="utf-8"?>
<x:worksheet xmlns:x="http://schemas.openxmlformats.org/spreadsheetml/2006/main">
  <x:sheetPr>
    <x:tabColor rgb="FF5B9BD5"/>
  </x:sheetPr>
  <x:sheetViews>
    <x:sheetView showGridLines="0" workbookViewId="0">
      <x:pane xSplit="4" ySplit="5" topLeftCell="E6" activePane="bottomRight" state="frozen"/>
    </x:sheetView>
  </x:sheetViews>
  <x:sheetFormatPr defaultRowHeight="15"/>
  <x:cols>
    <x:col min="1" max="1" width="3" hidden="0" customWidth="1"/>
    <x:col min="2" max="2" width="3" hidden="0" customWidth="1"/>
    <x:col min="3" max="3" width="42" hidden="0" customWidth="1"/>
    <x:col min="4" max="4" width="10" hidden="0" customWidth="1"/>
    <x:col min="5" max="5" width="13" hidden="0" customWidth="1"/>
    <x:col min="6" max="6" width="13" hidden="0" customWidth="1"/>
    <x:col min="7" max="7" width="13" hidden="0" customWidth="1"/>
    <x:col min="8" max="8" width="13" hidden="0" customWidth="1"/>
    <x:col min="9" max="9" width="13" hidden="0" customWidth="1"/>
    <x:col min="10" max="10" width="13" hidden="0" customWidth="1"/>
    <x:col min="11" max="11" width="13" hidden="0" customWidth="1"/>
    <x:col min="12" max="12" width="13" hidden="0" customWidth="1"/>
    <x:col min="13" max="13" width="13" hidden="0" customWidth="1"/>
    <x:col min="14" max="14" width="13" hidden="0" customWidth="1"/>
    <x:col min="15" max="15" width="13" hidden="0" customWidth="1"/>
  </x:cols>
  <x:sheetData>
    <x:row r="2" ht="18" hidden="0" customHeight="1">
      <x:c r="C2" s="3" t="str">
        <x:v>Free cash flow build</x:v>
      </x:c>
      <x:c r="D2" s="2"/>
      <x:c r="E2" s="2"/>
      <x:c r="F2" s="2"/>
      <x:c r="G2" s="2"/>
      <x:c r="H2" s="2"/>
      <x:c r="I2" s="2"/>
      <x:c r="J2" s="2"/>
      <x:c r="K2" s="2"/>
      <x:c r="L2" s="2"/>
      <x:c r="M2" s="2"/>
      <x:c r="N2" s="2"/>
      <x:c r="O2" s="2"/>
    </x:row>
    <x:row r="3" ht="15" hidden="0" customHeight="1">
      <x:c r="C3" s="4" t="str">
        <x:v>Historical FCFF uses an EBIT-before-financial-items definition. Forecast values are driven by the selected case.</x:v>
      </x:c>
      <x:c r="D3" s="2"/>
      <x:c r="E3" s="2"/>
      <x:c r="F3" s="2"/>
      <x:c r="G3" s="2"/>
      <x:c r="H3" s="2"/>
      <x:c r="I3" s="2"/>
      <x:c r="J3" s="2"/>
      <x:c r="K3" s="2"/>
      <x:c r="L3" s="2"/>
      <x:c r="M3" s="2"/>
      <x:c r="N3" s="2"/>
      <x:c r="O3" s="2"/>
    </x:row>
    <x:row r="4" ht="15" hidden="0" customHeight="1">
      <x:c r="C4" s="5"/>
      <x:c r="D4" s="5"/>
      <x:c r="E4" s="5"/>
      <x:c r="F4" s="5"/>
      <x:c r="G4" s="5"/>
      <x:c r="H4" s="5"/>
      <x:c r="I4" s="5"/>
      <x:c r="J4" s="5"/>
      <x:c r="K4" s="5"/>
      <x:c r="L4" s="5"/>
      <x:c r="M4" s="5"/>
      <x:c r="N4" s="5"/>
      <x:c r="O4" s="5"/>
      <x:c r="P4" s="6"/>
      <x:c r="Q4" s="6"/>
    </x:row>
    <x:row r="5" ht="15" hidden="0" customHeight="1">
      <x:c r="C5" s="21" t="str">
        <x:v>Metric</x:v>
      </x:c>
      <x:c r="D5" s="22" t="str">
        <x:v>Unit</x:v>
      </x:c>
      <x:c r="E5" s="22" t="str">
        <x:v>2020A</x:v>
      </x:c>
      <x:c r="F5" s="22" t="str">
        <x:v>2021A</x:v>
      </x:c>
      <x:c r="G5" s="22" t="str">
        <x:v>2022A</x:v>
      </x:c>
      <x:c r="H5" s="22" t="str">
        <x:v>2023A</x:v>
      </x:c>
      <x:c r="I5" s="22" t="str">
        <x:v>2024A</x:v>
      </x:c>
      <x:c r="J5" s="22" t="str">
        <x:v>2025E</x:v>
      </x:c>
      <x:c r="K5" s="22" t="str">
        <x:v>2026E</x:v>
      </x:c>
      <x:c r="L5" s="22" t="str">
        <x:v>2027E</x:v>
      </x:c>
      <x:c r="M5" s="22" t="str">
        <x:v>2028E</x:v>
      </x:c>
      <x:c r="N5" s="22" t="str">
        <x:v>2029E</x:v>
      </x:c>
      <x:c r="O5" s="23" t="str">
        <x:v>2030E</x:v>
      </x:c>
    </x:row>
    <x:row r="6" ht="15" hidden="0" customHeight="1">
      <x:c r="C6" s="2" t="str">
        <x:v>Revenue</x:v>
      </x:c>
      <x:c r="D6" s="2" t="str">
        <x:v>VND bn</x:v>
      </x:c>
      <x:c r="E6" s="57" t="n">
        <x:f>'Segment Build'!E24</x:f>
        <x:v>29830.400999999998</x:v>
      </x:c>
      <x:c r="F6" s="57" t="n">
        <x:f>'Segment Build'!F24</x:f>
        <x:v>35657.26299999999</x:v>
      </x:c>
      <x:c r="G6" s="57" t="n">
        <x:f>'Segment Build'!G24</x:f>
        <x:v>44009.528</x:v>
      </x:c>
      <x:c r="H6" s="57" t="n">
        <x:f>'Segment Build'!H24</x:f>
        <x:v>52617.901000000005</x:v>
      </x:c>
      <x:c r="I6" s="57" t="n">
        <x:f>'Segment Build'!I24</x:f>
        <x:v>62848.793999999994</x:v>
      </x:c>
      <x:c r="J6" s="57" t="n">
        <x:f>'Segment Build'!J24</x:f>
        <x:v>69665.545229</x:v>
      </x:c>
      <x:c r="K6" s="57" t="n">
        <x:f>'Segment Build'!K24</x:f>
        <x:v>78236.94259063198</x:v>
      </x:c>
      <x:c r="L6" s="57" t="n">
        <x:f>'Segment Build'!L24</x:f>
        <x:v>87785.88987541632</x:v>
      </x:c>
      <x:c r="M6" s="57" t="n">
        <x:f>'Segment Build'!M24</x:f>
        <x:v>98110.1208463709</x:v>
      </x:c>
      <x:c r="N6" s="57" t="n">
        <x:f>'Segment Build'!N24</x:f>
        <x:v>108803.45980107687</x:v>
      </x:c>
      <x:c r="O6" s="57" t="n">
        <x:f>'Segment Build'!O24</x:f>
        <x:v>120125.54681043208</x:v>
      </x:c>
    </x:row>
    <x:row r="7" ht="15" hidden="0" customHeight="1">
      <x:c r="C7" s="2" t="str">
        <x:v>  Growth</x:v>
      </x:c>
      <x:c r="D7" s="2" t="str">
        <x:v>%</x:v>
      </x:c>
      <x:c r="E7" s="49"/>
      <x:c r="F7" s="49" t="n">
        <x:f>F6/E6-1</x:f>
        <x:v>0.1953330094355752</x:v>
      </x:c>
      <x:c r="G7" s="49" t="n">
        <x:f>G6/F6-1</x:f>
        <x:v>0.23423741188436153</x:v>
      </x:c>
      <x:c r="H7" s="49" t="n">
        <x:f>H6/G6-1</x:f>
        <x:v>0.1956024840802657</x:v>
      </x:c>
      <x:c r="I7" s="49" t="n">
        <x:f>I6/H6-1</x:f>
        <x:v>0.19443749761131657</x:v>
      </x:c>
      <x:c r="J7" s="49" t="n">
        <x:f>J6/I6-1</x:f>
        <x:v>0.10846272132127144</x:v>
      </x:c>
      <x:c r="K7" s="49" t="n">
        <x:f>K6/J6-1</x:f>
        <x:v>0.12303639242981101</x:v>
      </x:c>
      <x:c r="L7" s="49" t="n">
        <x:f>L6/K6-1</x:f>
        <x:v>0.12205164170011584</x:v>
      </x:c>
      <x:c r="M7" s="49" t="n">
        <x:f>M6/L6-1</x:f>
        <x:v>0.11760695238843599</x:v>
      </x:c>
      <x:c r="N7" s="49" t="n">
        <x:f>N6/M6-1</x:f>
        <x:v>0.10899322987737925</x:v>
      </x:c>
      <x:c r="O7" s="49" t="n">
        <x:f>O6/N6-1</x:f>
        <x:v>0.1040599906478632</x:v>
      </x:c>
    </x:row>
    <x:row r="8" ht="15" hidden="0" customHeight="1">
      <x:c r="C8" s="2" t="str"/>
      <x:c r="D8" s="2" t="str"/>
      <x:c r="E8" s="53"/>
      <x:c r="F8" s="53"/>
      <x:c r="G8" s="53"/>
      <x:c r="H8" s="53"/>
      <x:c r="I8" s="53"/>
      <x:c r="J8" s="53"/>
      <x:c r="K8" s="53"/>
      <x:c r="L8" s="53"/>
      <x:c r="M8" s="53"/>
      <x:c r="N8" s="53"/>
      <x:c r="O8" s="53"/>
    </x:row>
    <x:row r="9" ht="15" hidden="0" customHeight="1">
      <x:c r="C9" s="2" t="str">
        <x:v>EBIT before financial items</x:v>
      </x:c>
      <x:c r="D9" s="2" t="str">
        <x:v>VND bn</x:v>
      </x:c>
      <x:c r="E9" s="52" t="n">
        <x:v>4604.729678588</x:v>
      </x:c>
      <x:c r="F9" s="52" t="n">
        <x:v>5415.027516223</x:v>
      </x:c>
      <x:c r="G9" s="52" t="n">
        <x:v>6794.557295869</x:v>
      </x:c>
      <x:c r="H9" s="52" t="n">
        <x:v>8451.627899363</x:v>
      </x:c>
      <x:c r="I9" s="52" t="n">
        <x:v>10508.347783359</x:v>
      </x:c>
      <x:c r="J9" s="57" t="n">
        <x:f>J6*'Assumptions'!E34</x:f>
        <x:v>11703.811598472</x:v>
      </x:c>
      <x:c r="K9" s="57" t="n">
        <x:f>K6*'Assumptions'!F34</x:f>
        <x:v>13300.280240407437</x:v>
      </x:c>
      <x:c r="L9" s="57" t="n">
        <x:f>L6*'Assumptions'!G34</x:f>
        <x:v>15099.173058571607</x:v>
      </x:c>
      <x:c r="M9" s="57" t="n">
        <x:f>M6*'Assumptions'!H34</x:f>
        <x:v>16973.050906422166</x:v>
      </x:c>
      <x:c r="N9" s="57" t="n">
        <x:f>N6*'Assumptions'!I34</x:f>
        <x:v>18931.802005387373</x:v>
      </x:c>
      <x:c r="O9" s="57" t="n">
        <x:f>O6*'Assumptions'!J34</x:f>
        <x:v>21021.970691825612</x:v>
      </x:c>
    </x:row>
    <x:row r="10" ht="15" hidden="0" customHeight="1">
      <x:c r="C10" s="2" t="str">
        <x:v>  EBIT margin</x:v>
      </x:c>
      <x:c r="D10" s="2" t="str">
        <x:v>%</x:v>
      </x:c>
      <x:c r="E10" s="49" t="n">
        <x:f>E9/E6</x:f>
        <x:v>0.15436365332762372</x:v>
      </x:c>
      <x:c r="F10" s="49" t="n">
        <x:f>F9/F6</x:f>
        <x:v>0.15186324077153654</x:v>
      </x:c>
      <x:c r="G10" s="49" t="n">
        <x:f>G9/G6</x:f>
        <x:v>0.154388324634361</x:v>
      </x:c>
      <x:c r="H10" s="49" t="n">
        <x:f>H9/H6</x:f>
        <x:v>0.1606226728687448</x:v>
      </x:c>
      <x:c r="I10" s="49" t="n">
        <x:f>I9/I6</x:f>
        <x:v>0.1672004682119915</x:v>
      </x:c>
      <x:c r="J10" s="49" t="n">
        <x:f>J9/J6</x:f>
        <x:v>0.168</x:v>
      </x:c>
      <x:c r="K10" s="49" t="n">
        <x:f>K9/K6</x:f>
        <x:v>0.17</x:v>
      </x:c>
      <x:c r="L10" s="49" t="n">
        <x:f>L9/L6</x:f>
        <x:v>0.172</x:v>
      </x:c>
      <x:c r="M10" s="49" t="n">
        <x:f>M9/M6</x:f>
        <x:v>0.173</x:v>
      </x:c>
      <x:c r="N10" s="49" t="n">
        <x:f>N9/N6</x:f>
        <x:v>0.174</x:v>
      </x:c>
      <x:c r="O10" s="49" t="n">
        <x:f>O9/O6</x:f>
        <x:v>0.175</x:v>
      </x:c>
    </x:row>
    <x:row r="11" ht="15" hidden="0" customHeight="1">
      <x:c r="C11" s="2" t="str"/>
      <x:c r="D11" s="2" t="str"/>
      <x:c r="E11" s="52"/>
      <x:c r="F11" s="52"/>
      <x:c r="G11" s="52"/>
      <x:c r="H11" s="52"/>
      <x:c r="I11" s="52"/>
      <x:c r="J11" s="57"/>
      <x:c r="K11" s="57"/>
      <x:c r="L11" s="57"/>
      <x:c r="M11" s="57"/>
      <x:c r="N11" s="57"/>
      <x:c r="O11" s="57"/>
    </x:row>
    <x:row r="12" ht="15" hidden="0" customHeight="1">
      <x:c r="C12" s="2" t="str">
        <x:v>Group profit before tax</x:v>
      </x:c>
      <x:c r="D12" s="2" t="str">
        <x:v>VND bn</x:v>
      </x:c>
      <x:c r="E12" s="53" t="n">
        <x:f>'Segment Build'!E27</x:f>
        <x:v>5263.457</x:v>
      </x:c>
      <x:c r="F12" s="53" t="n">
        <x:f>'Segment Build'!F27</x:f>
        <x:v>6337.206</x:v>
      </x:c>
      <x:c r="G12" s="53" t="n">
        <x:f>'Segment Build'!G27</x:f>
        <x:v>7662.283</x:v>
      </x:c>
      <x:c r="H12" s="53" t="n">
        <x:f>'Segment Build'!H27</x:f>
        <x:v>9203.006</x:v>
      </x:c>
      <x:c r="I12" s="53" t="n">
        <x:f>'Segment Build'!I27</x:f>
        <x:v>11069.666</x:v>
      </x:c>
      <x:c r="J12" s="57"/>
      <x:c r="K12" s="57"/>
      <x:c r="L12" s="57"/>
      <x:c r="M12" s="57"/>
      <x:c r="N12" s="57"/>
      <x:c r="O12" s="57"/>
    </x:row>
    <x:row r="13" ht="15" hidden="0" customHeight="1">
      <x:c r="C13" s="2" t="str">
        <x:v>Tax expense</x:v>
      </x:c>
      <x:c r="D13" s="2" t="str">
        <x:v>VND bn</x:v>
      </x:c>
      <x:c r="E13" s="52" t="n">
        <x:v>839.711412369</x:v>
      </x:c>
      <x:c r="F13" s="52" t="n">
        <x:v>987.905341462</x:v>
      </x:c>
      <x:c r="G13" s="52" t="n">
        <x:v>1170.937505411</x:v>
      </x:c>
      <x:c r="H13" s="52" t="n">
        <x:v>1414.956358954</x:v>
      </x:c>
      <x:c r="I13" s="52" t="n">
        <x:v>1642.243887375</x:v>
      </x:c>
      <x:c r="J13" s="53" t="n">
        <x:f>J9*J14</x:f>
        <x:v>1814.09079776316</x:v>
      </x:c>
      <x:c r="K13" s="53" t="n">
        <x:f>K9*K14</x:f>
        <x:v>2061.5434372631526</x:v>
      </x:c>
      <x:c r="L13" s="53" t="n">
        <x:f>L9*L14</x:f>
        <x:v>2340.371824078599</x:v>
      </x:c>
      <x:c r="M13" s="53" t="n">
        <x:f>M9*M14</x:f>
        <x:v>2630.822890495436</x:v>
      </x:c>
      <x:c r="N13" s="53" t="n">
        <x:f>N9*N14</x:f>
        <x:v>2934.429310835043</x:v>
      </x:c>
      <x:c r="O13" s="53" t="n">
        <x:f>O9*O14</x:f>
        <x:v>3258.40545723297</x:v>
      </x:c>
    </x:row>
    <x:row r="14" ht="15" hidden="0" customHeight="1">
      <x:c r="C14" s="2" t="str">
        <x:v>  Cash tax rate</x:v>
      </x:c>
      <x:c r="D14" s="2" t="str">
        <x:v>%</x:v>
      </x:c>
      <x:c r="E14" s="49" t="n">
        <x:f>E13/E12</x:f>
        <x:v>0.15953610191343826</x:v>
      </x:c>
      <x:c r="F14" s="49" t="n">
        <x:f>F13/F12</x:f>
        <x:v>0.15588973144663437</x:v>
      </x:c>
      <x:c r="G14" s="49" t="n">
        <x:f>G13/G12</x:f>
        <x:v>0.15281835784595793</x:v>
      </x:c>
      <x:c r="H14" s="49" t="n">
        <x:f>H13/H12</x:f>
        <x:v>0.15374936829922747</x:v>
      </x:c>
      <x:c r="I14" s="49" t="n">
        <x:f>I13/I12</x:f>
        <x:v>0.14835532412405217</x:v>
      </x:c>
      <x:c r="J14" s="61" t="n">
        <x:f>'Assumptions'!E38</x:f>
        <x:v>0.155</x:v>
      </x:c>
      <x:c r="K14" s="61" t="n">
        <x:f>'Assumptions'!F38</x:f>
        <x:v>0.155</x:v>
      </x:c>
      <x:c r="L14" s="61" t="n">
        <x:f>'Assumptions'!G38</x:f>
        <x:v>0.155</x:v>
      </x:c>
      <x:c r="M14" s="61" t="n">
        <x:f>'Assumptions'!H38</x:f>
        <x:v>0.155</x:v>
      </x:c>
      <x:c r="N14" s="61" t="n">
        <x:f>'Assumptions'!I38</x:f>
        <x:v>0.155</x:v>
      </x:c>
      <x:c r="O14" s="61" t="n">
        <x:f>'Assumptions'!J38</x:f>
        <x:v>0.155</x:v>
      </x:c>
    </x:row>
    <x:row r="15" ht="15" hidden="0" customHeight="1">
      <x:c r="C15" s="2" t="str"/>
      <x:c r="D15" s="2" t="str"/>
      <x:c r="E15" s="52"/>
      <x:c r="F15" s="52"/>
      <x:c r="G15" s="52"/>
      <x:c r="H15" s="52"/>
      <x:c r="I15" s="52"/>
      <x:c r="J15" s="57"/>
      <x:c r="K15" s="57"/>
      <x:c r="L15" s="57"/>
      <x:c r="M15" s="57"/>
      <x:c r="N15" s="57"/>
      <x:c r="O15" s="57"/>
    </x:row>
    <x:row r="16" ht="15" hidden="0" customHeight="1">
      <x:c r="C16" s="58" t="str">
        <x:v>NOPAT</x:v>
      </x:c>
      <x:c r="D16" s="58" t="str">
        <x:v>VND bn</x:v>
      </x:c>
      <x:c r="E16" s="59" t="n">
        <x:f>E9*(1-E14)</x:f>
        <x:v>3870.109055300951</x:v>
      </x:c>
      <x:c r="F16" s="59" t="n">
        <x:f>F9*(1-F14)</x:f>
        <x:v>4570.880330942861</x:v>
      </x:c>
      <x:c r="G16" s="59" t="n">
        <x:f>G9*(1-G14)</x:f>
        <x:v>5756.224207624027</x:v>
      </x:c>
      <x:c r="H16" s="59" t="n">
        <x:f>H9*(1-H14)</x:f>
        <x:v>7152.1954487358125</x:v>
      </x:c>
      <x:c r="I16" s="59" t="n">
        <x:f>I9*(1-I14)</x:f>
        <x:v>8949.37844195051</x:v>
      </x:c>
      <x:c r="J16" s="59" t="n">
        <x:f>J9*(1-J14)</x:f>
        <x:v>9889.720800708841</x:v>
      </x:c>
      <x:c r="K16" s="59" t="n">
        <x:f>K9*(1-K14)</x:f>
        <x:v>11238.736803144284</x:v>
      </x:c>
      <x:c r="L16" s="59" t="n">
        <x:f>L9*(1-L14)</x:f>
        <x:v>12758.801234493007</x:v>
      </x:c>
      <x:c r="M16" s="59" t="n">
        <x:f>M9*(1-M14)</x:f>
        <x:v>14342.22801592673</x:v>
      </x:c>
      <x:c r="N16" s="59" t="n">
        <x:f>N9*(1-N14)</x:f>
        <x:v>15997.37269455233</x:v>
      </x:c>
      <x:c r="O16" s="59" t="n">
        <x:f>O9*(1-O14)</x:f>
        <x:v>17763.565234592643</x:v>
      </x:c>
    </x:row>
    <x:row r="17" ht="15" hidden="0" customHeight="1">
      <x:c r="C17" s="2" t="str"/>
      <x:c r="D17" s="2" t="str"/>
      <x:c r="E17" s="52"/>
      <x:c r="F17" s="52"/>
      <x:c r="G17" s="52"/>
      <x:c r="H17" s="52"/>
      <x:c r="I17" s="52"/>
      <x:c r="J17" s="57"/>
      <x:c r="K17" s="57"/>
      <x:c r="L17" s="57"/>
      <x:c r="M17" s="57"/>
      <x:c r="N17" s="57"/>
      <x:c r="O17" s="57"/>
    </x:row>
    <x:row r="18" ht="15" hidden="0" customHeight="1">
      <x:c r="C18" s="2" t="str">
        <x:v>Depreciation and amortisation</x:v>
      </x:c>
      <x:c r="D18" s="2" t="str">
        <x:v>VND bn</x:v>
      </x:c>
      <x:c r="E18" s="52" t="n">
        <x:v>1490.607476892</x:v>
      </x:c>
      <x:c r="F18" s="52" t="n">
        <x:v>1643.915685332</x:v>
      </x:c>
      <x:c r="G18" s="52" t="n">
        <x:v>1833.064499128</x:v>
      </x:c>
      <x:c r="H18" s="52" t="n">
        <x:v>2286.514158688</x:v>
      </x:c>
      <x:c r="I18" s="52" t="n">
        <x:v>2535.298475665</x:v>
      </x:c>
      <x:c r="J18" s="57" t="n">
        <x:f>J6*'Assumptions'!E42</x:f>
        <x:v>2856.287354389</x:v>
      </x:c>
      <x:c r="K18" s="57" t="n">
        <x:f>K6*'Assumptions'!F42</x:f>
        <x:v>3129.4777036252794</x:v>
      </x:c>
      <x:c r="L18" s="57" t="n">
        <x:f>L6*'Assumptions'!G42</x:f>
        <x:v>3511.435595016653</x:v>
      </x:c>
      <x:c r="M18" s="57" t="n">
        <x:f>M6*'Assumptions'!H42</x:f>
        <x:v>3826.2947130084654</x:v>
      </x:c>
      <x:c r="N18" s="57" t="n">
        <x:f>N6*'Assumptions'!I42</x:f>
        <x:v>4243.334932241998</x:v>
      </x:c>
      <x:c r="O18" s="57" t="n">
        <x:f>O6*'Assumptions'!J42</x:f>
        <x:v>4564.770778796419</x:v>
      </x:c>
    </x:row>
    <x:row r="19" ht="15" hidden="0" customHeight="1">
      <x:c r="C19" s="2" t="str">
        <x:v>  D&amp;A / revenue</x:v>
      </x:c>
      <x:c r="D19" s="2" t="str">
        <x:v>%</x:v>
      </x:c>
      <x:c r="E19" s="49" t="n">
        <x:f>E18/E6</x:f>
        <x:v>0.04996940795036581</x:v>
      </x:c>
      <x:c r="F19" s="49" t="n">
        <x:f>F18/F6</x:f>
        <x:v>0.04610324929684032</x:v>
      </x:c>
      <x:c r="G19" s="49" t="n">
        <x:f>G18/G6</x:f>
        <x:v>0.04165153734727626</x:v>
      </x:c>
      <x:c r="H19" s="49" t="n">
        <x:f>H18/H6</x:f>
        <x:v>0.04345506216008122</x:v>
      </x:c>
      <x:c r="I19" s="49" t="n">
        <x:f>I18/I6</x:f>
        <x:v>0.0403396519536238</x:v>
      </x:c>
      <x:c r="J19" s="49" t="n">
        <x:f>J18/J6</x:f>
        <x:v>0.041</x:v>
      </x:c>
      <x:c r="K19" s="49" t="n">
        <x:f>K18/K6</x:f>
        <x:v>0.04</x:v>
      </x:c>
      <x:c r="L19" s="49" t="n">
        <x:f>L18/L6</x:f>
        <x:v>0.04</x:v>
      </x:c>
      <x:c r="M19" s="49" t="n">
        <x:f>M18/M6</x:f>
        <x:v>0.039</x:v>
      </x:c>
      <x:c r="N19" s="49" t="n">
        <x:f>N18/N6</x:f>
        <x:v>0.039</x:v>
      </x:c>
      <x:c r="O19" s="49" t="n">
        <x:f>O18/O6</x:f>
        <x:v>0.038</x:v>
      </x:c>
    </x:row>
    <x:row r="20" ht="15" hidden="0" customHeight="1">
      <x:c r="C20" s="2" t="str"/>
      <x:c r="D20" s="2" t="str"/>
      <x:c r="E20" s="52"/>
      <x:c r="F20" s="52"/>
      <x:c r="G20" s="52"/>
      <x:c r="H20" s="52"/>
      <x:c r="I20" s="52"/>
      <x:c r="J20" s="57"/>
      <x:c r="K20" s="57"/>
      <x:c r="L20" s="57"/>
      <x:c r="M20" s="57"/>
      <x:c r="N20" s="57"/>
      <x:c r="O20" s="57"/>
    </x:row>
    <x:row r="21" ht="15" hidden="0" customHeight="1">
      <x:c r="C21" s="2" t="str">
        <x:v>Capital expenditure</x:v>
      </x:c>
      <x:c r="D21" s="2" t="str">
        <x:v>VND bn</x:v>
      </x:c>
      <x:c r="E21" s="52" t="n">
        <x:v>3017.645357713</x:v>
      </x:c>
      <x:c r="F21" s="52" t="n">
        <x:v>2911.001172725</x:v>
      </x:c>
      <x:c r="G21" s="52" t="n">
        <x:v>3215.243200871</x:v>
      </x:c>
      <x:c r="H21" s="52" t="n">
        <x:v>3978.252082224</x:v>
      </x:c>
      <x:c r="I21" s="52" t="n">
        <x:v>3275.312325702</x:v>
      </x:c>
      <x:c r="J21" s="57" t="n">
        <x:f>J6*'Assumptions'!E46</x:f>
        <x:v>4179.93271374</x:v>
      </x:c>
      <x:c r="K21" s="57" t="n">
        <x:f>K6*'Assumptions'!F46</x:f>
        <x:v>4537.742670256655</x:v>
      </x:c>
      <x:c r="L21" s="57" t="n">
        <x:f>L6*'Assumptions'!G46</x:f>
        <x:v>4828.223943147897</x:v>
      </x:c>
      <x:c r="M21" s="57" t="n">
        <x:f>M6*'Assumptions'!H46</x:f>
        <x:v>5101.726284011287</x:v>
      </x:c>
      <x:c r="N21" s="57" t="n">
        <x:f>N6*'Assumptions'!I46</x:f>
        <x:v>5440.172990053844</x:v>
      </x:c>
      <x:c r="O21" s="57" t="n">
        <x:f>O6*'Assumptions'!J46</x:f>
        <x:v>6006.277340521604</x:v>
      </x:c>
    </x:row>
    <x:row r="22" ht="15" hidden="0" customHeight="1">
      <x:c r="C22" s="2" t="str">
        <x:v>  Capex / revenue</x:v>
      </x:c>
      <x:c r="D22" s="2" t="str">
        <x:v>%</x:v>
      </x:c>
      <x:c r="E22" s="49" t="n">
        <x:f>E21/E6</x:f>
        <x:v>0.10116006679605145</x:v>
      </x:c>
      <x:c r="F22" s="49" t="n">
        <x:f>F21/F6</x:f>
        <x:v>0.08163837961217048</x:v>
      </x:c>
      <x:c r="G22" s="49" t="n">
        <x:f>G21/G6</x:f>
        <x:v>0.07305788875697554</x:v>
      </x:c>
      <x:c r="H22" s="49" t="n">
        <x:f>H21/H6</x:f>
        <x:v>0.07560643823903199</x:v>
      </x:c>
      <x:c r="I22" s="49" t="n">
        <x:f>I21/I6</x:f>
        <x:v>0.052114163490583454</x:v>
      </x:c>
      <x:c r="J22" s="49" t="n">
        <x:f>J21/J6</x:f>
        <x:v>0.06</x:v>
      </x:c>
      <x:c r="K22" s="49" t="n">
        <x:f>K21/K6</x:f>
        <x:v>0.058</x:v>
      </x:c>
      <x:c r="L22" s="49" t="n">
        <x:f>L21/L6</x:f>
        <x:v>0.05499999999999999</x:v>
      </x:c>
      <x:c r="M22" s="49" t="n">
        <x:f>M21/M6</x:f>
        <x:v>0.052</x:v>
      </x:c>
      <x:c r="N22" s="49" t="n">
        <x:f>N21/N6</x:f>
        <x:v>0.05</x:v>
      </x:c>
      <x:c r="O22" s="49" t="n">
        <x:f>O21/O6</x:f>
        <x:v>0.05</x:v>
      </x:c>
    </x:row>
    <x:row r="23" ht="15" hidden="0" customHeight="1">
      <x:c r="C23" s="2" t="str"/>
      <x:c r="D23" s="2" t="str"/>
      <x:c r="E23" s="52"/>
      <x:c r="F23" s="52"/>
      <x:c r="G23" s="52"/>
      <x:c r="H23" s="52"/>
      <x:c r="I23" s="52"/>
      <x:c r="J23" s="57"/>
      <x:c r="K23" s="57"/>
      <x:c r="L23" s="57"/>
      <x:c r="M23" s="57"/>
      <x:c r="N23" s="57"/>
      <x:c r="O23" s="57"/>
    </x:row>
    <x:row r="24" ht="15" hidden="0" customHeight="1">
      <x:c r="C24" s="2" t="str">
        <x:v>Working-capital cash effect</x:v>
      </x:c>
      <x:c r="D24" s="2" t="str">
        <x:v>VND bn</x:v>
      </x:c>
      <x:c r="E24" s="52" t="n">
        <x:v>1368.495173285</x:v>
      </x:c>
      <x:c r="F24" s="52" t="n">
        <x:v>622.81184097</x:v>
      </x:c>
      <x:c r="G24" s="52" t="n">
        <x:v>-1780.942589548</x:v>
      </x:c>
      <x:c r="H24" s="52" t="n">
        <x:v>678.455083089</x:v>
      </x:c>
      <x:c r="I24" s="52" t="n">
        <x:v>302.676186985</x:v>
      </x:c>
      <x:c r="J24" s="53" t="n">
        <x:f>-J25</x:f>
        <x:v>-136.33502458000004</x:v>
      </x:c>
      <x:c r="K24" s="53" t="n">
        <x:f>-K25</x:f>
        <x:v>-171.42794723263972</x:v>
      </x:c>
      <x:c r="L24" s="53" t="n">
        <x:f>-L25</x:f>
        <x:v>-190.97894569568686</x:v>
      </x:c>
      <x:c r="M24" s="53" t="n">
        <x:f>-M25</x:f>
        <x:v>-206.48461941909162</x:v>
      </x:c>
      <x:c r="N24" s="53" t="n">
        <x:f>-N25</x:f>
        <x:v>-213.86677909411927</x:v>
      </x:c>
      <x:c r="O24" s="53" t="n">
        <x:f>-O25</x:f>
        <x:v>-226.44174018710416</x:v>
      </x:c>
    </x:row>
    <x:row r="25" ht="15" hidden="0" customHeight="1">
      <x:c r="C25" s="2" t="str">
        <x:v>Change in working capital used in FCFF</x:v>
      </x:c>
      <x:c r="D25" s="2" t="str">
        <x:v>VND bn</x:v>
      </x:c>
      <x:c r="E25" s="53" t="n">
        <x:f>-E24</x:f>
        <x:v>-1368.495173285</x:v>
      </x:c>
      <x:c r="F25" s="53" t="n">
        <x:f>-F24</x:f>
        <x:v>-622.81184097</x:v>
      </x:c>
      <x:c r="G25" s="53" t="n">
        <x:f>-G24</x:f>
        <x:v>1780.942589548</x:v>
      </x:c>
      <x:c r="H25" s="53" t="n">
        <x:f>-H24</x:f>
        <x:v>-678.455083089</x:v>
      </x:c>
      <x:c r="I25" s="53" t="n">
        <x:f>-I24</x:f>
        <x:v>-302.676186985</x:v>
      </x:c>
      <x:c r="J25" s="57" t="n">
        <x:f>(J6-I6)*'Assumptions'!E50</x:f>
        <x:v>136.33502458000004</x:v>
      </x:c>
      <x:c r="K25" s="57" t="n">
        <x:f>(K6-J6)*'Assumptions'!F50</x:f>
        <x:v>171.42794723263972</x:v>
      </x:c>
      <x:c r="L25" s="57" t="n">
        <x:f>(L6-K6)*'Assumptions'!G50</x:f>
        <x:v>190.97894569568686</x:v>
      </x:c>
      <x:c r="M25" s="57" t="n">
        <x:f>(M6-L6)*'Assumptions'!H50</x:f>
        <x:v>206.48461941909162</x:v>
      </x:c>
      <x:c r="N25" s="57" t="n">
        <x:f>(N6-M6)*'Assumptions'!I50</x:f>
        <x:v>213.86677909411927</x:v>
      </x:c>
      <x:c r="O25" s="57" t="n">
        <x:f>(O6-N6)*'Assumptions'!J50</x:f>
        <x:v>226.44174018710416</x:v>
      </x:c>
    </x:row>
    <x:row r="26" ht="15" hidden="0" customHeight="1">
      <x:c r="C26" s="2" t="str">
        <x:v>  Change in NWC / incremental revenue</x:v>
      </x:c>
      <x:c r="D26" s="2" t="str">
        <x:v>%</x:v>
      </x:c>
      <x:c r="E26" s="49"/>
      <x:c r="F26" s="49" t="n">
        <x:f>F25/(F6-E6)</x:f>
        <x:v>-0.1068863207966828</x:v>
      </x:c>
      <x:c r="G26" s="49" t="n">
        <x:f>G25/(G6-F6)</x:f>
        <x:v>0.21322869779012021</x:v>
      </x:c>
      <x:c r="H26" s="49" t="n">
        <x:f>H25/(H6-G6)</x:f>
        <x:v>-0.07881339285472405</x:v>
      </x:c>
      <x:c r="I26" s="49" t="n">
        <x:f>I25/(I6-H6)</x:f>
        <x:v>-0.029584532551068646</x:v>
      </x:c>
      <x:c r="J26" s="49" t="n">
        <x:f>J25/(J6-I6)</x:f>
        <x:v>0.02</x:v>
      </x:c>
      <x:c r="K26" s="49" t="n">
        <x:f>K25/(K6-J6)</x:f>
        <x:v>0.02</x:v>
      </x:c>
      <x:c r="L26" s="49" t="n">
        <x:f>L25/(L6-K6)</x:f>
        <x:v>0.02</x:v>
      </x:c>
      <x:c r="M26" s="49" t="n">
        <x:f>M25/(M6-L6)</x:f>
        <x:v>0.02</x:v>
      </x:c>
      <x:c r="N26" s="49" t="n">
        <x:f>N25/(N6-M6)</x:f>
        <x:v>0.02</x:v>
      </x:c>
      <x:c r="O26" s="49" t="n">
        <x:f>O25/(O6-N6)</x:f>
        <x:v>0.02</x:v>
      </x:c>
    </x:row>
    <x:row r="27" ht="15" hidden="0" customHeight="1">
      <x:c r="C27" s="2" t="str"/>
      <x:c r="D27" s="2" t="str"/>
      <x:c r="E27" s="52"/>
      <x:c r="F27" s="52"/>
      <x:c r="G27" s="52"/>
      <x:c r="H27" s="52"/>
      <x:c r="I27" s="52"/>
      <x:c r="J27" s="53"/>
      <x:c r="K27" s="53"/>
      <x:c r="L27" s="53"/>
      <x:c r="M27" s="53"/>
      <x:c r="N27" s="53"/>
      <x:c r="O27" s="53"/>
    </x:row>
    <x:row r="28" ht="15" hidden="0" customHeight="1">
      <x:c r="C28" s="58" t="str">
        <x:v>FCFF</x:v>
      </x:c>
      <x:c r="D28" s="58" t="str">
        <x:v>VND bn</x:v>
      </x:c>
      <x:c r="E28" s="59" t="n">
        <x:f>E16+E18-E21-E25</x:f>
        <x:v>3711.5663477649505</x:v>
      </x:c>
      <x:c r="F28" s="59" t="n">
        <x:f>F16+F18-F21-F25</x:f>
        <x:v>3926.6066845198616</x:v>
      </x:c>
      <x:c r="G28" s="59" t="n">
        <x:f>G16+G18-G21-G25</x:f>
        <x:v>2593.1029163330277</x:v>
      </x:c>
      <x:c r="H28" s="59" t="n">
        <x:f>H16+H18-H21-H25</x:f>
        <x:v>6138.912608288812</x:v>
      </x:c>
      <x:c r="I28" s="59" t="n">
        <x:f>I16+I18-I21-I25</x:f>
        <x:v>8512.04077889851</x:v>
      </x:c>
      <x:c r="J28" s="59" t="n">
        <x:f>J16+J18-J21-J25</x:f>
        <x:v>8429.740416777842</x:v>
      </x:c>
      <x:c r="K28" s="59" t="n">
        <x:f>K16+K18-K21-K25</x:f>
        <x:v>9659.043889280269</x:v>
      </x:c>
      <x:c r="L28" s="59" t="n">
        <x:f>L16+L18-L21-L25</x:f>
        <x:v>11251.033940666077</x:v>
      </x:c>
      <x:c r="M28" s="59" t="n">
        <x:f>M16+M18-M21-M25</x:f>
        <x:v>12860.311825504818</x:v>
      </x:c>
      <x:c r="N28" s="59" t="n">
        <x:f>N16+N18-N21-N25</x:f>
        <x:v>14586.667857646362</x:v>
      </x:c>
      <x:c r="O28" s="59" t="n">
        <x:f>O16+O18-O21-O25</x:f>
        <x:v>16095.616932680354</x:v>
      </x:c>
    </x:row>
    <x:row r="29" ht="15" hidden="0" customHeight="1">
      <x:c r="C29" s="2" t="str">
        <x:v>  FCFF margin</x:v>
      </x:c>
      <x:c r="D29" s="2" t="str">
        <x:v>%</x:v>
      </x:c>
      <x:c r="E29" s="49" t="n">
        <x:f>E28/E6</x:f>
        <x:v>0.12442227470441818</x:v>
      </x:c>
      <x:c r="F29" s="49" t="n">
        <x:f>F28/F6</x:f>
        <x:v>0.11012081001617714</x:v>
      </x:c>
      <x:c r="G29" s="49" t="n">
        <x:f>G28/G6</x:f>
        <x:v>0.058921398028468464</x:v>
      </x:c>
      <x:c r="H29" s="49" t="n">
        <x:f>H28/H6</x:f>
        <x:v>0.11666965978534209</x:v>
      </x:c>
      <x:c r="I29" s="49" t="n">
        <x:f>I28/I6</x:f>
        <x:v>0.13543681966114593</x:v>
      </x:c>
      <x:c r="J29" s="49" t="n">
        <x:f>J28/J6</x:f>
        <x:v>0.12100300642258888</x:v>
      </x:c>
      <x:c r="K29" s="49" t="n">
        <x:f>K28/K6</x:f>
        <x:v>0.12345886188089401</x:v>
      </x:c>
      <x:c r="L29" s="49" t="n">
        <x:f>L28/L6</x:f>
        <x:v>0.12816449154452134</x:v>
      </x:c>
      <x:c r="M29" s="49" t="n">
        <x:f>M28/M6</x:f>
        <x:v>0.1310803790125035</x:v>
      </x:c>
      <x:c r="N29" s="49" t="n">
        <x:f>N28/N6</x:f>
        <x:v>0.13406437519831507</x:v>
      </x:c>
      <x:c r="O29" s="49" t="n">
        <x:f>O28/O6</x:f>
        <x:v>0.1339899576738706</x:v>
      </x:c>
    </x:row>
    <x:row r="30" ht="15" hidden="0" customHeight="1">
      <x:c r="C30" s="2" t="str"/>
      <x:c r="D30" s="2" t="str"/>
      <x:c r="E30" s="52"/>
      <x:c r="F30" s="52"/>
      <x:c r="G30" s="52"/>
      <x:c r="H30" s="52"/>
      <x:c r="I30" s="52"/>
      <x:c r="J30" s="53"/>
      <x:c r="K30" s="53"/>
      <x:c r="L30" s="53"/>
      <x:c r="M30" s="53"/>
      <x:c r="N30" s="53"/>
      <x:c r="O30" s="53"/>
    </x:row>
    <x:row r="31" ht="15" hidden="0" customHeight="1">
      <x:c r="C31" s="2" t="str">
        <x:v>Operating cash flow</x:v>
      </x:c>
      <x:c r="D31" s="2" t="str">
        <x:v>VND bn</x:v>
      </x:c>
      <x:c r="E31" s="52" t="n">
        <x:v>6339.679033336</x:v>
      </x:c>
      <x:c r="F31" s="52" t="n">
        <x:v>5839.693554727</x:v>
      </x:c>
      <x:c r="G31" s="52" t="n">
        <x:v>5053.8317567</x:v>
      </x:c>
      <x:c r="H31" s="52" t="n">
        <x:v>9517.095698405</x:v>
      </x:c>
      <x:c r="I31" s="52" t="n">
        <x:v>11703.777188868</x:v>
      </x:c>
      <x:c r="J31" s="53"/>
      <x:c r="K31" s="53"/>
      <x:c r="L31" s="53"/>
      <x:c r="M31" s="53"/>
      <x:c r="N31" s="53"/>
      <x:c r="O31" s="53"/>
    </x:row>
    <x:row r="32" ht="15" hidden="0" customHeight="1">
      <x:c r="C32" s="2" t="str">
        <x:v>Interest paid</x:v>
      </x:c>
      <x:c r="D32" s="2" t="str">
        <x:v>VND bn</x:v>
      </x:c>
      <x:c r="E32" s="52" t="n">
        <x:v>401.913784732</x:v>
      </x:c>
      <x:c r="F32" s="52" t="n">
        <x:v>451.555665838</x:v>
      </x:c>
      <x:c r="G32" s="52" t="n">
        <x:v>635.688969538</x:v>
      </x:c>
      <x:c r="H32" s="52" t="n">
        <x:v>832.038375945</x:v>
      </x:c>
      <x:c r="I32" s="52" t="n">
        <x:v>607.154747076</x:v>
      </x:c>
      <x:c r="J32" s="53"/>
      <x:c r="K32" s="53"/>
      <x:c r="L32" s="53"/>
      <x:c r="M32" s="53"/>
      <x:c r="N32" s="53"/>
      <x:c r="O32" s="53"/>
    </x:row>
    <x:row r="33" ht="15" hidden="0" customHeight="1">
      <x:c r="C33" s="58" t="str">
        <x:v>CFO-based unlevered FCF proxy</x:v>
      </x:c>
      <x:c r="D33" s="58" t="str">
        <x:v>VND bn</x:v>
      </x:c>
      <x:c r="E33" s="59" t="n">
        <x:f>E31+E32*(1-E14)-E21</x:f>
        <x:v>3659.8277018335807</x:v>
      </x:c>
      <x:c r="F33" s="59" t="n">
        <x:f>F31+F32*(1-F14)-F21</x:f>
        <x:v>3309.8551563593087</x:v>
      </x:c>
      <x:c r="G33" s="59" t="n">
        <x:f>G31+G32*(1-G14)-G21</x:f>
        <x:v>2377.132580941414</x:v>
      </x:c>
      <x:c r="H33" s="59" t="n">
        <x:f>H31+H32*(1-H14)-H21</x:f>
        <x:v>6242.956617423741</x:v>
      </x:c>
      <x:c r="I33" s="59" t="n">
        <x:f>I31+I32*(1-I14)-I21</x:f>
        <x:v>8945.544970946083</x:v>
      </x:c>
      <x:c r="J33" s="59"/>
      <x:c r="K33" s="59"/>
      <x:c r="L33" s="59"/>
      <x:c r="M33" s="59"/>
      <x:c r="N33" s="59"/>
      <x:c r="O33" s="59"/>
    </x:row>
    <x:row r="34" ht="15" hidden="0" customHeight="1">
      <x:c r="C34" s="2" t="str">
        <x:v>Difference to FCFF</x:v>
      </x:c>
      <x:c r="D34" s="2" t="str">
        <x:v>VND bn</x:v>
      </x:c>
      <x:c r="E34" s="53" t="n">
        <x:f>E33-E28</x:f>
        <x:v>-51.738645931369774</x:v>
      </x:c>
      <x:c r="F34" s="53" t="n">
        <x:f>F33-F28</x:f>
        <x:v>-616.7515281605529</x:v>
      </x:c>
      <x:c r="G34" s="53" t="n">
        <x:f>G33-G28</x:f>
        <x:v>-215.97033539161384</x:v>
      </x:c>
      <x:c r="H34" s="53" t="n">
        <x:f>H33-H28</x:f>
        <x:v>104.04400913492827</x:v>
      </x:c>
      <x:c r="I34" s="53" t="n">
        <x:f>I33-I28</x:f>
        <x:v>433.50419204757236</x:v>
      </x:c>
      <x:c r="J34" s="53"/>
      <x:c r="K34" s="53"/>
      <x:c r="L34" s="53"/>
      <x:c r="M34" s="53"/>
      <x:c r="N34" s="53"/>
      <x:c r="O34" s="53"/>
    </x:row>
    <x:row r="35" ht="15" hidden="0" customHeight="1">
      <x:c r="C35" s="2"/>
      <x:c r="D35" s="2"/>
      <x:c r="E35" s="2"/>
      <x:c r="F35" s="2"/>
      <x:c r="G35" s="2"/>
      <x:c r="H35" s="2"/>
      <x:c r="I35" s="2"/>
      <x:c r="J35" s="2"/>
      <x:c r="K35" s="2"/>
      <x:c r="L35" s="2"/>
      <x:c r="M35" s="2"/>
      <x:c r="N35" s="2"/>
      <x:c r="O35" s="2"/>
    </x:row>
    <x:row r="36" ht="15" hidden="0" customHeight="1">
      <x:c r="C36" s="2"/>
      <x:c r="D36" s="2"/>
      <x:c r="E36" s="2"/>
      <x:c r="F36" s="2"/>
      <x:c r="G36" s="2"/>
      <x:c r="H36" s="2"/>
      <x:c r="I36" s="2"/>
      <x:c r="J36" s="2"/>
      <x:c r="K36" s="2"/>
      <x:c r="L36" s="2"/>
      <x:c r="M36" s="2"/>
      <x:c r="N36" s="2"/>
      <x:c r="O36" s="2"/>
    </x:row>
    <x:row r="37" ht="15" hidden="0" customHeight="1">
      <x:c r="C37" s="2"/>
      <x:c r="D37" s="2"/>
      <x:c r="E37" s="2"/>
      <x:c r="F37" s="2"/>
      <x:c r="G37" s="2"/>
      <x:c r="H37" s="2"/>
      <x:c r="I37" s="2"/>
      <x:c r="J37" s="2"/>
      <x:c r="K37" s="2"/>
      <x:c r="L37" s="2"/>
      <x:c r="M37" s="2"/>
      <x:c r="N37" s="2"/>
      <x:c r="O37" s="2"/>
    </x:row>
    <x:row r="38" ht="15" hidden="0" customHeight="1">
      <x:c r="C38" s="2"/>
      <x:c r="D38" s="2"/>
      <x:c r="E38" s="2"/>
      <x:c r="F38" s="2"/>
      <x:c r="G38" s="2"/>
      <x:c r="H38" s="2"/>
      <x:c r="I38" s="2"/>
      <x:c r="J38" s="2"/>
      <x:c r="K38" s="2"/>
      <x:c r="L38" s="2"/>
      <x:c r="M38" s="2"/>
      <x:c r="N38" s="2"/>
      <x:c r="O38" s="2"/>
    </x:row>
    <x:row r="39"/>
    <x:row r="40"/>
    <x:row r="41"/>
    <x:row r="42"/>
    <x:row r="43"/>
    <x:row r="44"/>
    <x:row r="45"/>
    <x:row r="46"/>
    <x:row r="47"/>
    <x:row r="48"/>
    <x:row r="49"/>
    <x:row r="50"/>
    <x:row r="51"/>
    <x:row r="52"/>
    <x:row r="53"/>
    <x:row r="54"/>
    <x:row r="55"/>
    <x:row r="56"/>
    <x:row r="57"/>
    <x:row r="58"/>
    <x:row r="59"/>
    <x:row r="60"/>
  </x:sheetData>
  <x:pageMargins left="0.7" right="0.7" top="0.75" bottom="0.75" header="0.3" footer="0.3"/>
</x:worksheet>
</file>

<file path=xl/worksheets/sheet8.xml><?xml version="1.0" encoding="utf-8"?>
<x:worksheet xmlns:x="http://schemas.openxmlformats.org/spreadsheetml/2006/main">
  <x:sheetPr>
    <x:tabColor rgb="FFD6B656"/>
  </x:sheetPr>
  <x:sheetViews>
    <x:sheetView showGridLines="0" workbookViewId="0">
      <x:pane ySplit="5" topLeftCell="A6" activePane="bottomLeft" state="frozen"/>
    </x:sheetView>
  </x:sheetViews>
  <x:sheetFormatPr defaultRowHeight="15"/>
  <x:cols>
    <x:col min="1" max="1" width="3" hidden="0" customWidth="1"/>
    <x:col min="2" max="2" width="3" hidden="0" customWidth="1"/>
    <x:col min="3" max="3" width="43" hidden="0" customWidth="1"/>
    <x:col min="4" max="4" width="16" hidden="0" customWidth="1"/>
    <x:col min="5" max="5" width="18" hidden="0" customWidth="1"/>
    <x:col min="6" max="6" width="58" hidden="0" customWidth="1"/>
  </x:cols>
  <x:sheetData>
    <x:row r="2" ht="18" hidden="0" customHeight="1">
      <x:c r="C2" s="3" t="str">
        <x:v>FPT balance-sheet inputs at 30 September 2025</x:v>
      </x:c>
      <x:c r="D2" s="2"/>
      <x:c r="E2" s="2"/>
      <x:c r="F2" s="2"/>
      <x:c r="G2" s="2"/>
    </x:row>
    <x:row r="3" ht="15" hidden="0" customHeight="1">
      <x:c r="C3" s="4" t="str">
        <x:v>Consolidated reported values available before the 31-Oct-2025 valuation date. VND billion unless stated otherwise.</x:v>
      </x:c>
      <x:c r="D3" s="2"/>
      <x:c r="E3" s="2"/>
      <x:c r="F3" s="2"/>
      <x:c r="G3" s="2"/>
    </x:row>
    <x:row r="4" ht="15" hidden="0" customHeight="1">
      <x:c r="C4" s="5"/>
      <x:c r="D4" s="5"/>
      <x:c r="E4" s="5"/>
      <x:c r="F4" s="5"/>
      <x:c r="G4" s="5"/>
      <x:c r="H4" s="6"/>
      <x:c r="I4" s="6"/>
      <x:c r="J4" s="6"/>
      <x:c r="K4" s="6"/>
      <x:c r="L4" s="6"/>
      <x:c r="M4" s="6"/>
      <x:c r="N4" s="6"/>
      <x:c r="O4" s="6"/>
      <x:c r="P4" s="6"/>
      <x:c r="Q4" s="6"/>
    </x:row>
    <x:row r="5" ht="15" hidden="0" customHeight="1">
      <x:c r="C5" s="21" t="str">
        <x:v>Metric</x:v>
      </x:c>
      <x:c r="D5" s="22" t="str">
        <x:v>Unit</x:v>
      </x:c>
      <x:c r="E5" s="22" t="str">
        <x:v>30-Sep-2025</x:v>
      </x:c>
      <x:c r="F5" s="23" t="str">
        <x:v>Source / report page</x:v>
      </x:c>
      <x:c r="G5" s="2"/>
    </x:row>
    <x:row r="6" ht="24" hidden="0" customHeight="1">
      <x:c r="C6" s="2" t="str">
        <x:v>Cash and cash equivalents</x:v>
      </x:c>
      <x:c r="D6" s="2" t="str">
        <x:v>VND bn</x:v>
      </x:c>
      <x:c r="E6" s="52" t="n">
        <x:v>9853.51273137</x:v>
      </x:c>
      <x:c r="F6" s="55" t="str">
        <x:v>FPT Q3 2025 consolidated FS, balance sheet p. 2</x:v>
      </x:c>
      <x:c r="G6" s="2"/>
    </x:row>
    <x:row r="7" ht="24" hidden="0" customHeight="1">
      <x:c r="C7" s="2" t="str">
        <x:v>Short-term financial investments</x:v>
      </x:c>
      <x:c r="D7" s="2" t="str">
        <x:v>VND bn</x:v>
      </x:c>
      <x:c r="E7" s="52" t="n">
        <x:v>27125.585559832</x:v>
      </x:c>
      <x:c r="F7" s="55" t="str">
        <x:v>FPT Q3 2025 consolidated FS, balance sheet p. 2</x:v>
      </x:c>
      <x:c r="G7" s="2"/>
    </x:row>
    <x:row r="8" ht="24" hidden="0" customHeight="1">
      <x:c r="C8" s="2" t="str">
        <x:v>Investment in associates and joint ventures</x:v>
      </x:c>
      <x:c r="D8" s="2" t="str">
        <x:v>VND bn</x:v>
      </x:c>
      <x:c r="E8" s="52" t="n">
        <x:v>2925.769962921</x:v>
      </x:c>
      <x:c r="F8" s="55" t="str">
        <x:v>FPT Q3 2025 consolidated FS, balance sheet p. 3</x:v>
      </x:c>
      <x:c r="G8" s="2"/>
    </x:row>
    <x:row r="9" ht="24" hidden="0" customHeight="1">
      <x:c r="C9" s="2" t="str">
        <x:v>Other long-term financial investments</x:v>
      </x:c>
      <x:c r="D9" s="2" t="str">
        <x:v>VND bn</x:v>
      </x:c>
      <x:c r="E9" s="52" t="n">
        <x:v>3467.604969734</x:v>
      </x:c>
      <x:c r="F9" s="55" t="str">
        <x:v>FPT Q3 2025 consolidated FS, balance sheet p. 3</x:v>
      </x:c>
      <x:c r="G9" s="2"/>
    </x:row>
    <x:row r="10" ht="24" hidden="0" customHeight="1">
      <x:c r="C10" s="2" t="str">
        <x:v>Provision for long-term financial investments</x:v>
      </x:c>
      <x:c r="D10" s="2" t="str">
        <x:v>VND bn</x:v>
      </x:c>
      <x:c r="E10" s="52" t="n">
        <x:v>-2411.392556617</x:v>
      </x:c>
      <x:c r="F10" s="55" t="str">
        <x:v>FPT Q3 2025 consolidated FS, balance sheet p. 3</x:v>
      </x:c>
      <x:c r="G10" s="2"/>
    </x:row>
    <x:row r="11" ht="24" hidden="0" customHeight="1">
      <x:c r="C11" s="2" t="str">
        <x:v>Short-term borrowings and finance leases</x:v>
      </x:c>
      <x:c r="D11" s="2" t="str">
        <x:v>VND bn</x:v>
      </x:c>
      <x:c r="E11" s="52" t="n">
        <x:v>16906.417104678</x:v>
      </x:c>
      <x:c r="F11" s="55" t="str">
        <x:v>FPT Q3 2025 consolidated FS, balance sheet p. 4</x:v>
      </x:c>
      <x:c r="G11" s="2"/>
    </x:row>
    <x:row r="12" ht="24" hidden="0" customHeight="1">
      <x:c r="C12" s="2" t="str">
        <x:v>Long-term borrowings and finance leases</x:v>
      </x:c>
      <x:c r="D12" s="2" t="str">
        <x:v>VND bn</x:v>
      </x:c>
      <x:c r="E12" s="52" t="n">
        <x:v>2681.43542229</x:v>
      </x:c>
      <x:c r="F12" s="55" t="str">
        <x:v>FPT Q3 2025 consolidated FS, balance sheet p. 4</x:v>
      </x:c>
      <x:c r="G12" s="2"/>
    </x:row>
    <x:row r="13" ht="24" hidden="0" customHeight="1">
      <x:c r="C13" s="2" t="str">
        <x:v>Non-controlling interests</x:v>
      </x:c>
      <x:c r="D13" s="2" t="str">
        <x:v>VND bn</x:v>
      </x:c>
      <x:c r="E13" s="52" t="n">
        <x:v>7039.652215035</x:v>
      </x:c>
      <x:c r="F13" s="55" t="str">
        <x:v>FPT Q3 2025 consolidated FS, balance sheet p. 5</x:v>
      </x:c>
      <x:c r="G13" s="2"/>
    </x:row>
    <x:row r="14" ht="24" hidden="0" customHeight="1">
      <x:c r="C14" s="2" t="str">
        <x:v>Shares outstanding</x:v>
      </x:c>
      <x:c r="D14" s="2" t="str">
        <x:v>million shares</x:v>
      </x:c>
      <x:c r="E14" s="52" t="n">
        <x:v>1703.507121</x:v>
      </x:c>
      <x:c r="F14" s="55" t="str">
        <x:v>Contributed capital / VND10,000 par at 30-Sep-2025, balance sheet p. 5</x:v>
      </x:c>
      <x:c r="G14" s="2"/>
    </x:row>
    <x:row r="15" ht="24" hidden="0" customHeight="1">
      <x:c r="C15" s="2" t="str">
        <x:v>Total assets</x:v>
      </x:c>
      <x:c r="D15" s="2" t="str">
        <x:v>VND bn</x:v>
      </x:c>
      <x:c r="E15" s="52" t="n">
        <x:v>82738.304930449</x:v>
      </x:c>
      <x:c r="F15" s="55" t="str">
        <x:v>FPT Q3 2025 consolidated FS, balance sheet p. 3</x:v>
      </x:c>
      <x:c r="G15" s="2"/>
    </x:row>
    <x:row r="16" ht="24" hidden="0" customHeight="1">
      <x:c r="C16" s="2" t="str">
        <x:v>Total liabilities</x:v>
      </x:c>
      <x:c r="D16" s="2" t="str">
        <x:v>VND bn</x:v>
      </x:c>
      <x:c r="E16" s="52" t="n">
        <x:v>39907.781019976</x:v>
      </x:c>
      <x:c r="F16" s="55" t="str">
        <x:v>FPT Q3 2025 consolidated FS, balance sheet p. 4</x:v>
      </x:c>
      <x:c r="G16" s="2"/>
    </x:row>
    <x:row r="17" ht="24" hidden="0" customHeight="1">
      <x:c r="C17" s="2" t="str">
        <x:v>Total equity and other funds</x:v>
      </x:c>
      <x:c r="D17" s="2" t="str">
        <x:v>VND bn</x:v>
      </x:c>
      <x:c r="E17" s="52" t="n">
        <x:v>42830.523910473</x:v>
      </x:c>
      <x:c r="F17" s="55" t="str">
        <x:v>FPT Q3 2025 consolidated FS, balance sheet p. 5</x:v>
      </x:c>
      <x:c r="G17" s="2"/>
    </x:row>
    <x:row r="18" ht="24" hidden="0" customHeight="1">
      <x:c r="C18" s="2" t="str">
        <x:v>Balance-sheet check</x:v>
      </x:c>
      <x:c r="D18" s="2" t="str">
        <x:v>VND bn</x:v>
      </x:c>
      <x:c r="E18" s="54" t="n">
        <x:f>ROUND(E15-E16-E17,3)</x:f>
        <x:v>0</x:v>
      </x:c>
      <x:c r="F18" s="55" t="str">
        <x:v>Total assets less liabilities and equity</x:v>
      </x:c>
      <x:c r="G18" s="2"/>
    </x:row>
    <x:row r="19" ht="15" hidden="0" customHeight="1">
      <x:c r="C19" s="2"/>
      <x:c r="D19" s="2"/>
      <x:c r="E19" s="2"/>
      <x:c r="F19" s="2"/>
      <x:c r="G19" s="2"/>
    </x:row>
    <x:row r="20" ht="15" hidden="0" customHeight="1">
      <x:c r="C20" s="2"/>
      <x:c r="D20" s="2"/>
      <x:c r="E20" s="2"/>
      <x:c r="F20" s="2"/>
      <x:c r="G20" s="2"/>
    </x:row>
    <x:row r="21" ht="15" hidden="0" customHeight="1">
      <x:c r="C21" s="2"/>
      <x:c r="D21" s="2"/>
      <x:c r="E21" s="2"/>
      <x:c r="F21" s="2"/>
      <x:c r="G21" s="2"/>
    </x:row>
    <x:row r="22" ht="15" hidden="0" customHeight="1">
      <x:c r="C22" s="2"/>
      <x:c r="D22" s="2"/>
      <x:c r="E22" s="2"/>
      <x:c r="F22" s="2"/>
      <x:c r="G22" s="2"/>
    </x:row>
    <x:row r="23" ht="15" hidden="0" customHeight="1">
      <x:c r="C23" s="2"/>
      <x:c r="D23" s="2"/>
      <x:c r="E23" s="2"/>
      <x:c r="F23" s="2"/>
      <x:c r="G23" s="2"/>
    </x:row>
    <x:row r="24" ht="15" hidden="0" customHeight="1">
      <x:c r="C24" s="2"/>
      <x:c r="D24" s="2"/>
      <x:c r="E24" s="2"/>
      <x:c r="F24" s="2"/>
      <x:c r="G24" s="2"/>
    </x:row>
    <x:row r="25"/>
    <x:row r="26"/>
    <x:row r="27"/>
    <x:row r="28"/>
    <x:row r="29"/>
    <x:row r="30"/>
    <x:row r="31"/>
    <x:row r="32"/>
    <x:row r="33"/>
    <x:row r="34"/>
    <x:row r="35"/>
    <x:row r="36"/>
    <x:row r="37"/>
    <x:row r="38"/>
    <x:row r="39"/>
    <x:row r="40"/>
    <x:row r="41"/>
    <x:row r="42"/>
    <x:row r="43"/>
    <x:row r="44"/>
    <x:row r="45"/>
    <x:row r="46"/>
    <x:row r="47"/>
    <x:row r="48"/>
    <x:row r="49"/>
    <x:row r="50"/>
    <x:row r="51"/>
    <x:row r="52"/>
    <x:row r="53"/>
    <x:row r="54"/>
    <x:row r="55"/>
    <x:row r="56"/>
    <x:row r="57"/>
    <x:row r="58"/>
    <x:row r="59"/>
    <x:row r="60"/>
  </x:sheetData>
  <x:conditionalFormatting sqref="E18:E18">
    <x:cfRule type="expression" dxfId="0" priority="1">
      <x:formula>ABS(E18)&gt;0.01</x:formula>
    </x:cfRule>
  </x:conditionalFormatting>
  <x:pageMargins left="0.7" right="0.7" top="0.75" bottom="0.75" header="0.3" footer="0.3"/>
</x:worksheet>
</file>

<file path=xl/worksheets/sheet9.xml><?xml version="1.0" encoding="utf-8"?>
<x:worksheet xmlns:x="http://schemas.openxmlformats.org/spreadsheetml/2006/main">
  <x:sheetPr>
    <x:tabColor rgb="FFD6B656"/>
  </x:sheetPr>
  <x:sheetViews>
    <x:sheetView showGridLines="0" workbookViewId="0">
      <x:pane xSplit="4" ySplit="5" topLeftCell="E6" activePane="bottomRight" state="frozen"/>
    </x:sheetView>
  </x:sheetViews>
  <x:sheetFormatPr defaultRowHeight="15"/>
  <x:cols>
    <x:col min="1" max="1" width="3" hidden="0" customWidth="1"/>
    <x:col min="2" max="2" width="3" hidden="0" customWidth="1"/>
    <x:col min="3" max="3" width="35" hidden="0" customWidth="1"/>
    <x:col min="4" max="4" width="11" hidden="0" customWidth="1"/>
    <x:col min="5" max="5" width="18" hidden="0" customWidth="1"/>
    <x:col min="6" max="6" width="18" hidden="0" customWidth="1"/>
    <x:col min="7" max="7" width="18" hidden="0" customWidth="1"/>
    <x:col min="8" max="8" width="18" hidden="0" customWidth="1"/>
    <x:col min="9" max="9" width="18" hidden="0" customWidth="1"/>
  </x:cols>
  <x:sheetData>
    <x:row r="2" ht="18" hidden="0" customHeight="1">
      <x:c r="C2" s="3" t="str">
        <x:v>FPT audited annual actuals</x:v>
      </x:c>
      <x:c r="D2" s="2"/>
      <x:c r="E2" s="2"/>
      <x:c r="F2" s="2"/>
      <x:c r="G2" s="2"/>
      <x:c r="H2" s="2"/>
      <x:c r="I2" s="2"/>
      <x:c r="J2" s="2"/>
    </x:row>
    <x:row r="3" ht="15" hidden="0" customHeight="1">
      <x:c r="C3" s="4" t="str">
        <x:v>Consolidated figures. VND billion unless stated otherwise. FY2020 uses the reclassified comparative in the FY2021 filing.</x:v>
      </x:c>
      <x:c r="D3" s="2"/>
      <x:c r="E3" s="2"/>
      <x:c r="F3" s="2"/>
      <x:c r="G3" s="2"/>
      <x:c r="H3" s="2"/>
      <x:c r="I3" s="2"/>
      <x:c r="J3" s="2"/>
    </x:row>
    <x:row r="4" ht="15" hidden="0" customHeight="1">
      <x:c r="C4" s="5"/>
      <x:c r="D4" s="5"/>
      <x:c r="E4" s="5"/>
      <x:c r="F4" s="5"/>
      <x:c r="G4" s="5"/>
      <x:c r="H4" s="5"/>
      <x:c r="I4" s="5"/>
      <x:c r="J4" s="5"/>
      <x:c r="K4" s="6"/>
      <x:c r="L4" s="6"/>
      <x:c r="M4" s="6"/>
      <x:c r="N4" s="6"/>
      <x:c r="O4" s="6"/>
      <x:c r="P4" s="6"/>
      <x:c r="Q4" s="6"/>
    </x:row>
    <x:row r="5" ht="15" hidden="0" customHeight="1">
      <x:c r="C5" s="21" t="str">
        <x:v>Metric</x:v>
      </x:c>
      <x:c r="D5" s="22" t="str">
        <x:v>Unit</x:v>
      </x:c>
      <x:c r="E5" s="22" t="n">
        <x:v>2020</x:v>
      </x:c>
      <x:c r="F5" s="22" t="n">
        <x:v>2021</x:v>
      </x:c>
      <x:c r="G5" s="22" t="n">
        <x:v>2022</x:v>
      </x:c>
      <x:c r="H5" s="22" t="n">
        <x:v>2023</x:v>
      </x:c>
      <x:c r="I5" s="23" t="n">
        <x:v>2024</x:v>
      </x:c>
      <x:c r="J5" s="2"/>
    </x:row>
    <x:row r="6" ht="15" hidden="0" customHeight="1">
      <x:c r="C6" s="2" t="str">
        <x:v>Net revenue</x:v>
      </x:c>
      <x:c r="D6" s="34" t="str">
        <x:v>VND bn</x:v>
      </x:c>
      <x:c r="E6" s="52" t="n">
        <x:v>29830.400526824</x:v>
      </x:c>
      <x:c r="F6" s="52" t="n">
        <x:v>35657.262545027</x:v>
      </x:c>
      <x:c r="G6" s="52" t="n">
        <x:v>44009.527680911</x:v>
      </x:c>
      <x:c r="H6" s="52" t="n">
        <x:v>52617.900827385</x:v>
      </x:c>
      <x:c r="I6" s="52" t="n">
        <x:v>62848.794351367</x:v>
      </x:c>
      <x:c r="J6" s="2"/>
    </x:row>
    <x:row r="7" ht="15" hidden="0" customHeight="1">
      <x:c r="C7" s="2" t="str">
        <x:v>Gross profit</x:v>
      </x:c>
      <x:c r="D7" s="34" t="str">
        <x:v>VND bn</x:v>
      </x:c>
      <x:c r="E7" s="52" t="n">
        <x:v>11617.339725623</x:v>
      </x:c>
      <x:c r="F7" s="52" t="n">
        <x:v>13631.964236778</x:v>
      </x:c>
      <x:c r="G7" s="52" t="n">
        <x:v>17167.278641198</x:v>
      </x:c>
      <x:c r="H7" s="52" t="n">
        <x:v>20319.553444682</x:v>
      </x:c>
      <x:c r="I7" s="52" t="n">
        <x:v>23698.348369916</x:v>
      </x:c>
      <x:c r="J7" s="2"/>
    </x:row>
    <x:row r="8" ht="15" hidden="0" customHeight="1">
      <x:c r="C8" s="2" t="str">
        <x:v>Net operating profit</x:v>
      </x:c>
      <x:c r="D8" s="34" t="str">
        <x:v>VND bn</x:v>
      </x:c>
      <x:c r="E8" s="52" t="n">
        <x:v>5190.654463931</x:v>
      </x:c>
      <x:c r="F8" s="52" t="n">
        <x:v>6228.494136764</x:v>
      </x:c>
      <x:c r="G8" s="52" t="n">
        <x:v>7589.289622311</x:v>
      </x:c>
      <x:c r="H8" s="52" t="n">
        <x:v>9111.745534433</x:v>
      </x:c>
      <x:c r="I8" s="52" t="n">
        <x:v>11025.080772955</x:v>
      </x:c>
      <x:c r="J8" s="2"/>
    </x:row>
    <x:row r="9" ht="15" hidden="0" customHeight="1">
      <x:c r="C9" s="2" t="str">
        <x:v>Profit before tax</x:v>
      </x:c>
      <x:c r="D9" s="34" t="str">
        <x:v>VND bn</x:v>
      </x:c>
      <x:c r="E9" s="52" t="n">
        <x:v>5263.456629967</x:v>
      </x:c>
      <x:c r="F9" s="52" t="n">
        <x:v>6337.206440958</x:v>
      </x:c>
      <x:c r="G9" s="52" t="n">
        <x:v>7662.28295988</x:v>
      </x:c>
      <x:c r="H9" s="52" t="n">
        <x:v>9203.00609857</x:v>
      </x:c>
      <x:c r="I9" s="52" t="n">
        <x:v>11069.666417819</x:v>
      </x:c>
      <x:c r="J9" s="2"/>
    </x:row>
    <x:row r="10" ht="15" hidden="0" customHeight="1">
      <x:c r="C10" s="2" t="str">
        <x:v>Profit after tax</x:v>
      </x:c>
      <x:c r="D10" s="34" t="str">
        <x:v>VND bn</x:v>
      </x:c>
      <x:c r="E10" s="52" t="n">
        <x:v>4423.745217598</x:v>
      </x:c>
      <x:c r="F10" s="52" t="n">
        <x:v>5349.301099496</x:v>
      </x:c>
      <x:c r="G10" s="52" t="n">
        <x:v>6491.343454469</x:v>
      </x:c>
      <x:c r="H10" s="52" t="n">
        <x:v>7788.049739616</x:v>
      </x:c>
      <x:c r="I10" s="52" t="n">
        <x:v>9427.422530444</x:v>
      </x:c>
      <x:c r="J10" s="2"/>
    </x:row>
    <x:row r="11" ht="15" hidden="0" customHeight="1">
      <x:c r="C11" s="2" t="str">
        <x:v>  Parent profit after tax</x:v>
      </x:c>
      <x:c r="D11" s="34" t="str">
        <x:v>VND bn</x:v>
      </x:c>
      <x:c r="E11" s="52" t="n">
        <x:v>3538.007738822</x:v>
      </x:c>
      <x:c r="F11" s="52" t="n">
        <x:v>4337.411879802</x:v>
      </x:c>
      <x:c r="G11" s="52" t="n">
        <x:v>5310.108591408</x:v>
      </x:c>
      <x:c r="H11" s="52" t="n">
        <x:v>6465.190432622</x:v>
      </x:c>
      <x:c r="I11" s="52" t="n">
        <x:v>7856.767812178</x:v>
      </x:c>
      <x:c r="J11" s="2"/>
    </x:row>
    <x:row r="12" ht="15" hidden="0" customHeight="1">
      <x:c r="C12" s="2" t="str">
        <x:v>  NCI profit after tax</x:v>
      </x:c>
      <x:c r="D12" s="34" t="str">
        <x:v>VND bn</x:v>
      </x:c>
      <x:c r="E12" s="52" t="n">
        <x:v>885.737478776</x:v>
      </x:c>
      <x:c r="F12" s="52" t="n">
        <x:v>1011.889219694</x:v>
      </x:c>
      <x:c r="G12" s="52" t="n">
        <x:v>1181.234863061</x:v>
      </x:c>
      <x:c r="H12" s="52" t="n">
        <x:v>1322.859306994</x:v>
      </x:c>
      <x:c r="I12" s="52" t="n">
        <x:v>1570.654718266</x:v>
      </x:c>
      <x:c r="J12" s="2"/>
    </x:row>
    <x:row r="13" ht="15" hidden="0" customHeight="1">
      <x:c r="C13" s="2" t="str">
        <x:v>Operating cash flow</x:v>
      </x:c>
      <x:c r="D13" s="34" t="str">
        <x:v>VND bn</x:v>
      </x:c>
      <x:c r="E13" s="52" t="n">
        <x:v>6339.679033336</x:v>
      </x:c>
      <x:c r="F13" s="52" t="n">
        <x:v>5839.693554727</x:v>
      </x:c>
      <x:c r="G13" s="52" t="n">
        <x:v>5053.8317567</x:v>
      </x:c>
      <x:c r="H13" s="52" t="n">
        <x:v>9517.095698405</x:v>
      </x:c>
      <x:c r="I13" s="52" t="n">
        <x:v>11703.777188868</x:v>
      </x:c>
      <x:c r="J13" s="2"/>
    </x:row>
    <x:row r="14" ht="15" hidden="0" customHeight="1">
      <x:c r="C14" s="2" t="str">
        <x:v>Capital expenditure purchases</x:v>
      </x:c>
      <x:c r="D14" s="34" t="str">
        <x:v>VND bn</x:v>
      </x:c>
      <x:c r="E14" s="52" t="n">
        <x:v>3017.645357713</x:v>
      </x:c>
      <x:c r="F14" s="52" t="n">
        <x:v>2911.001172725</x:v>
      </x:c>
      <x:c r="G14" s="52" t="n">
        <x:v>3215.243200871</x:v>
      </x:c>
      <x:c r="H14" s="52" t="n">
        <x:v>3978.252082224</x:v>
      </x:c>
      <x:c r="I14" s="52" t="n">
        <x:v>3275.312325702</x:v>
      </x:c>
      <x:c r="J14" s="2"/>
    </x:row>
    <x:row r="15" ht="15" hidden="0" customHeight="1">
      <x:c r="C15" s="2" t="str">
        <x:v>Dividends paid</x:v>
      </x:c>
      <x:c r="D15" s="34" t="str">
        <x:v>VND bn</x:v>
      </x:c>
      <x:c r="E15" s="52" t="n">
        <x:v>1899.079382925</x:v>
      </x:c>
      <x:c r="F15" s="52" t="n">
        <x:v>2254.183945975</x:v>
      </x:c>
      <x:c r="G15" s="52" t="n">
        <x:v>2222.134795995</x:v>
      </x:c>
      <x:c r="H15" s="52" t="n">
        <x:v>2930.628448135</x:v>
      </x:c>
      <x:c r="I15" s="52" t="n">
        <x:v>3291.859792121</x:v>
      </x:c>
      <x:c r="J15" s="2"/>
    </x:row>
    <x:row r="16" ht="15" hidden="0" customHeight="1">
      <x:c r="C16" s="2" t="str">
        <x:v>Cash and equivalents</x:v>
      </x:c>
      <x:c r="D16" s="34" t="str">
        <x:v>VND bn</x:v>
      </x:c>
      <x:c r="E16" s="52" t="n">
        <x:v>4686.191374038</x:v>
      </x:c>
      <x:c r="F16" s="52" t="n">
        <x:v>5417.845293242</x:v>
      </x:c>
      <x:c r="G16" s="52" t="n">
        <x:v>6440.177174322</x:v>
      </x:c>
      <x:c r="H16" s="52" t="n">
        <x:v>8279.156683221</x:v>
      </x:c>
      <x:c r="I16" s="52" t="n">
        <x:v>9315.440438884</x:v>
      </x:c>
      <x:c r="J16" s="2"/>
    </x:row>
    <x:row r="17" ht="15" hidden="0" customHeight="1">
      <x:c r="C17" s="2" t="str">
        <x:v>Short-term investments</x:v>
      </x:c>
      <x:c r="D17" s="34" t="str">
        <x:v>VND bn</x:v>
      </x:c>
      <x:c r="E17" s="52" t="n">
        <x:v>12435.918124269</x:v>
      </x:c>
      <x:c r="F17" s="52" t="n">
        <x:v>20730.720735456</x:v>
      </x:c>
      <x:c r="G17" s="52" t="n">
        <x:v>13047.23413195</x:v>
      </x:c>
      <x:c r="H17" s="52" t="n">
        <x:v>16104.20535801</x:v>
      </x:c>
      <x:c r="I17" s="52" t="n">
        <x:v>21785.213686808</x:v>
      </x:c>
      <x:c r="J17" s="2"/>
    </x:row>
    <x:row r="18" ht="15" hidden="0" customHeight="1">
      <x:c r="C18" s="2" t="str">
        <x:v>Trade receivables, net</x:v>
      </x:c>
      <x:c r="D18" s="34" t="str">
        <x:v>VND bn</x:v>
      </x:c>
      <x:c r="E18" s="52" t="n">
        <x:v>5564.392191491</x:v>
      </x:c>
      <x:c r="F18" s="52" t="n">
        <x:v>6211.956510246</x:v>
      </x:c>
      <x:c r="G18" s="52" t="n">
        <x:v>7990.076948983</x:v>
      </x:c>
      <x:c r="H18" s="52" t="n">
        <x:v>9057.647206985</x:v>
      </x:c>
      <x:c r="I18" s="52" t="n">
        <x:v>10537.01911338</x:v>
      </x:c>
      <x:c r="J18" s="2"/>
    </x:row>
    <x:row r="19" ht="15" hidden="0" customHeight="1">
      <x:c r="C19" s="2" t="str">
        <x:v>Inventories, net</x:v>
      </x:c>
      <x:c r="D19" s="34" t="str">
        <x:v>VND bn</x:v>
      </x:c>
      <x:c r="E19" s="52" t="n">
        <x:v>1290.091524352</x:v>
      </x:c>
      <x:c r="F19" s="52" t="n">
        <x:v>1507.342901619</x:v>
      </x:c>
      <x:c r="G19" s="52" t="n">
        <x:v>1965.787736563</x:v>
      </x:c>
      <x:c r="H19" s="52" t="n">
        <x:v>1593.411075233</x:v>
      </x:c>
      <x:c r="I19" s="52" t="n">
        <x:v>1856.75694903</x:v>
      </x:c>
      <x:c r="J19" s="2"/>
    </x:row>
    <x:row r="20" ht="15" hidden="0" customHeight="1">
      <x:c r="C20" s="2" t="str">
        <x:v>Total assets</x:v>
      </x:c>
      <x:c r="D20" s="34" t="str">
        <x:v>VND bn</x:v>
      </x:c>
      <x:c r="E20" s="52" t="n">
        <x:v>41734.323235194</x:v>
      </x:c>
      <x:c r="F20" s="52" t="n">
        <x:v>53697.940895875</x:v>
      </x:c>
      <x:c r="G20" s="52" t="n">
        <x:v>51650.40373513</x:v>
      </x:c>
      <x:c r="H20" s="52" t="n">
        <x:v>60282.827532899</x:v>
      </x:c>
      <x:c r="I20" s="52" t="n">
        <x:v>71999.99567862</x:v>
      </x:c>
      <x:c r="J20" s="2"/>
    </x:row>
    <x:row r="21" ht="15" hidden="0" customHeight="1">
      <x:c r="C21" s="2" t="str">
        <x:v>Total liabilities</x:v>
      </x:c>
      <x:c r="D21" s="34" t="str">
        <x:v>VND bn</x:v>
      </x:c>
      <x:c r="E21" s="52" t="n">
        <x:v>23128.655834466</x:v>
      </x:c>
      <x:c r="F21" s="52" t="n">
        <x:v>32279.955665838</x:v>
      </x:c>
      <x:c r="G21" s="52" t="n">
        <x:v>26294.279047318</x:v>
      </x:c>
      <x:c r="H21" s="52" t="n">
        <x:v>30349.816316666</x:v>
      </x:c>
      <x:c r="I21" s="52" t="n">
        <x:v>36272.45557382</x:v>
      </x:c>
      <x:c r="J21" s="2"/>
    </x:row>
    <x:row r="22" ht="15" hidden="0" customHeight="1">
      <x:c r="C22" s="2" t="str">
        <x:v>Short-term borrowings</x:v>
      </x:c>
      <x:c r="D22" s="34" t="str">
        <x:v>VND bn</x:v>
      </x:c>
      <x:c r="E22" s="52" t="n">
        <x:v>12062.41019274</x:v>
      </x:c>
      <x:c r="F22" s="52" t="n">
        <x:v>17799.441187777</x:v>
      </x:c>
      <x:c r="G22" s="52" t="n">
        <x:v>10904.344845014</x:v>
      </x:c>
      <x:c r="H22" s="52" t="n">
        <x:v>13837.894474107</x:v>
      </x:c>
      <x:c r="I22" s="52" t="n">
        <x:v>14446.238451323</x:v>
      </x:c>
      <x:c r="J22" s="2"/>
    </x:row>
    <x:row r="23" ht="15" hidden="0" customHeight="1">
      <x:c r="C23" s="2" t="str">
        <x:v>Long-term borrowings</x:v>
      </x:c>
      <x:c r="D23" s="34" t="str">
        <x:v>VND bn</x:v>
      </x:c>
      <x:c r="E23" s="52" t="n">
        <x:v>677.796913413</x:v>
      </x:c>
      <x:c r="F23" s="52" t="n">
        <x:v>2296.308493046</x:v>
      </x:c>
      <x:c r="G23" s="52" t="n">
        <x:v>1477.83033399</x:v>
      </x:c>
      <x:c r="H23" s="52" t="n">
        <x:v>208.074996962</x:v>
      </x:c>
      <x:c r="I23" s="52" t="n">
        <x:v>501.115537075</x:v>
      </x:c>
      <x:c r="J23" s="2"/>
    </x:row>
    <x:row r="24" ht="15" hidden="0" customHeight="1">
      <x:c r="C24" s="2" t="str">
        <x:v>Total owners' equity</x:v>
      </x:c>
      <x:c r="D24" s="34" t="str">
        <x:v>VND bn</x:v>
      </x:c>
      <x:c r="E24" s="52" t="n">
        <x:v>18605.667400728</x:v>
      </x:c>
      <x:c r="F24" s="52" t="n">
        <x:v>21417.985230037</x:v>
      </x:c>
      <x:c r="G24" s="52" t="n">
        <x:v>25356.124687812</x:v>
      </x:c>
      <x:c r="H24" s="52" t="n">
        <x:v>29933.011216233</x:v>
      </x:c>
      <x:c r="I24" s="52" t="n">
        <x:v>35727.5401048</x:v>
      </x:c>
      <x:c r="J24" s="2"/>
    </x:row>
    <x:row r="25" ht="15" hidden="0" customHeight="1">
      <x:c r="C25" s="2" t="str">
        <x:v>  NCI equity</x:v>
      </x:c>
      <x:c r="D25" s="34" t="str">
        <x:v>VND bn</x:v>
      </x:c>
      <x:c r="E25" s="52" t="n">
        <x:v>2860.094124424</x:v>
      </x:c>
      <x:c r="F25" s="52" t="n">
        <x:v>3477.041138837</x:v>
      </x:c>
      <x:c r="G25" s="52" t="n">
        <x:v>4309.656273198</x:v>
      </x:c>
      <x:c r="H25" s="52" t="n">
        <x:v>4958.854855687</x:v>
      </x:c>
      <x:c r="I25" s="52" t="n">
        <x:v>5933.309621004</x:v>
      </x:c>
      <x:c r="J25" s="2"/>
    </x:row>
    <x:row r="26" ht="15" hidden="0" customHeight="1">
      <x:c r="C26" s="2"/>
      <x:c r="D26" s="2"/>
      <x:c r="E26" s="2"/>
      <x:c r="F26" s="2"/>
      <x:c r="G26" s="2"/>
      <x:c r="H26" s="2"/>
      <x:c r="I26" s="2"/>
      <x:c r="J26" s="2"/>
    </x:row>
    <x:row r="27" ht="15" hidden="0" customHeight="1">
      <x:c r="C27" s="2"/>
      <x:c r="D27" s="2"/>
      <x:c r="E27" s="2"/>
      <x:c r="F27" s="2"/>
      <x:c r="G27" s="2"/>
      <x:c r="H27" s="2"/>
      <x:c r="I27" s="2"/>
      <x:c r="J27" s="2"/>
    </x:row>
    <x:row r="28" ht="15" hidden="0" customHeight="1">
      <x:c r="C28" s="35" t="str">
        <x:v>Reconciliation checks (VND billion)</x:v>
      </x:c>
      <x:c r="D28" s="36" t="str">
        <x:v>Reconciliation checks (VND billion)</x:v>
      </x:c>
      <x:c r="E28" s="36" t="str">
        <x:v>Reconciliation checks (VND billion)</x:v>
      </x:c>
      <x:c r="F28" s="36" t="str">
        <x:v>Reconciliation checks (VND billion)</x:v>
      </x:c>
      <x:c r="G28" s="36" t="str">
        <x:v>Reconciliation checks (VND billion)</x:v>
      </x:c>
      <x:c r="H28" s="36" t="str">
        <x:v>Reconciliation checks (VND billion)</x:v>
      </x:c>
      <x:c r="I28" s="37" t="str">
        <x:v>Reconciliation checks (VND billion)</x:v>
      </x:c>
      <x:c r="J28" s="2"/>
    </x:row>
    <x:row r="29" ht="15" hidden="0" customHeight="1">
      <x:c r="C29" s="21" t="str">
        <x:v>Check</x:v>
      </x:c>
      <x:c r="D29" s="22" t="str">
        <x:v>Tolerance</x:v>
      </x:c>
      <x:c r="E29" s="22" t="n">
        <x:v>2020</x:v>
      </x:c>
      <x:c r="F29" s="22" t="n">
        <x:v>2021</x:v>
      </x:c>
      <x:c r="G29" s="22" t="n">
        <x:v>2022</x:v>
      </x:c>
      <x:c r="H29" s="22" t="n">
        <x:v>2023</x:v>
      </x:c>
      <x:c r="I29" s="23" t="n">
        <x:v>2024</x:v>
      </x:c>
      <x:c r="J29" s="2"/>
    </x:row>
    <x:row r="30" ht="15" hidden="0" customHeight="1">
      <x:c r="C30" s="2" t="str">
        <x:v>Assets - liabilities - equity</x:v>
      </x:c>
      <x:c r="D30" s="2" t="n">
        <x:v>0.01</x:v>
      </x:c>
      <x:c r="E30" s="140" t="n">
        <x:f>ROUND(E20-E21-E24,2)</x:f>
        <x:v>0</x:v>
      </x:c>
      <x:c r="F30" s="140" t="n">
        <x:f>ROUND(F20-F21-F24,2)</x:f>
        <x:v>0</x:v>
      </x:c>
      <x:c r="G30" s="140" t="n">
        <x:f>ROUND(G20-G21-G24,2)</x:f>
        <x:v>0</x:v>
      </x:c>
      <x:c r="H30" s="140" t="n">
        <x:f>ROUND(H20-H21-H24,2)</x:f>
        <x:v>0</x:v>
      </x:c>
      <x:c r="I30" s="140" t="n">
        <x:f>ROUND(I20-I21-I24,2)</x:f>
        <x:v>0</x:v>
      </x:c>
      <x:c r="J30" s="2"/>
    </x:row>
    <x:row r="31" ht="15" hidden="0" customHeight="1">
      <x:c r="C31" s="2" t="str">
        <x:v>PAT - parent PAT - NCI PAT</x:v>
      </x:c>
      <x:c r="D31" s="2" t="n">
        <x:v>0.01</x:v>
      </x:c>
      <x:c r="E31" s="140" t="n">
        <x:f>ROUND(E10-E11-E12,2)</x:f>
        <x:v>0</x:v>
      </x:c>
      <x:c r="F31" s="140" t="n">
        <x:f>ROUND(F10-F11-F12,2)</x:f>
        <x:v>0</x:v>
      </x:c>
      <x:c r="G31" s="140" t="n">
        <x:f>ROUND(G10-G11-G12,2)</x:f>
        <x:v>0</x:v>
      </x:c>
      <x:c r="H31" s="140" t="n">
        <x:f>ROUND(H10-H11-H12,2)</x:f>
        <x:v>0</x:v>
      </x:c>
      <x:c r="I31" s="140" t="n">
        <x:f>ROUND(I10-I11-I12,2)</x:f>
        <x:v>0</x:v>
      </x:c>
      <x:c r="J31" s="2"/>
    </x:row>
    <x:row r="32" ht="15" hidden="0" customHeight="1">
      <x:c r="C32" s="2"/>
      <x:c r="D32" s="2"/>
      <x:c r="E32" s="2"/>
      <x:c r="F32" s="2"/>
      <x:c r="G32" s="2"/>
      <x:c r="H32" s="2"/>
      <x:c r="I32" s="2"/>
      <x:c r="J32" s="2"/>
    </x:row>
    <x:row r="33" ht="15" hidden="0" customHeight="1">
      <x:c r="C33" s="2"/>
      <x:c r="D33" s="2"/>
      <x:c r="E33" s="2"/>
      <x:c r="F33" s="2"/>
      <x:c r="G33" s="2"/>
      <x:c r="H33" s="2"/>
      <x:c r="I33" s="2"/>
      <x:c r="J33" s="2"/>
    </x:row>
    <x:row r="34" ht="15" hidden="0" customHeight="1">
      <x:c r="C34" s="92" t="str">
        <x:v>Source pages</x:v>
      </x:c>
      <x:c r="D34" s="92" t="str"/>
      <x:c r="E34" s="92" t="str">
        <x:v>fpt_ar_2021 pp. 72-75</x:v>
      </x:c>
      <x:c r="F34" s="92" t="str">
        <x:v>fpt_ar_2021 pp. 72-75</x:v>
      </x:c>
      <x:c r="G34" s="92" t="str">
        <x:v>fpt_ar_2022 pp. 71-74</x:v>
      </x:c>
      <x:c r="H34" s="92" t="str">
        <x:v>fpt_ar_2023 pp. 143-151</x:v>
      </x:c>
      <x:c r="I34" s="92" t="str">
        <x:v>fpt_ar_2024 pp. 146-154</x:v>
      </x:c>
      <x:c r="J34" s="2"/>
    </x:row>
    <x:row r="35" ht="15" hidden="0" customHeight="1">
      <x:c r="C35" s="2"/>
      <x:c r="D35" s="2"/>
      <x:c r="E35" s="2"/>
      <x:c r="F35" s="2"/>
      <x:c r="G35" s="2"/>
      <x:c r="H35" s="2"/>
      <x:c r="I35" s="2"/>
      <x:c r="J35" s="2"/>
    </x:row>
    <x:row r="36" ht="15" hidden="0" customHeight="1">
      <x:c r="C36" s="2"/>
      <x:c r="D36" s="2"/>
      <x:c r="E36" s="2"/>
      <x:c r="F36" s="2"/>
      <x:c r="G36" s="2"/>
      <x:c r="H36" s="2"/>
      <x:c r="I36" s="2"/>
      <x:c r="J36" s="2"/>
    </x:row>
    <x:row r="37" ht="15" hidden="0" customHeight="1">
      <x:c r="C37" s="2"/>
      <x:c r="D37" s="2"/>
      <x:c r="E37" s="2"/>
      <x:c r="F37" s="2"/>
      <x:c r="G37" s="2"/>
      <x:c r="H37" s="2"/>
      <x:c r="I37" s="2"/>
      <x:c r="J37" s="2"/>
    </x:row>
    <x:row r="38" ht="15" hidden="0" customHeight="1">
      <x:c r="C38" s="2"/>
      <x:c r="D38" s="2"/>
      <x:c r="E38" s="2"/>
      <x:c r="F38" s="2"/>
      <x:c r="G38" s="2"/>
      <x:c r="H38" s="2"/>
      <x:c r="I38" s="2"/>
      <x:c r="J38" s="2"/>
    </x:row>
    <x:row r="39" ht="15" hidden="0" customHeight="1">
      <x:c r="C39" s="2"/>
      <x:c r="D39" s="2"/>
      <x:c r="E39" s="2"/>
      <x:c r="F39" s="2"/>
      <x:c r="G39" s="2"/>
      <x:c r="H39" s="2"/>
      <x:c r="I39" s="2"/>
      <x:c r="J39" s="2"/>
    </x:row>
    <x:row r="40" ht="15" hidden="0" customHeight="1">
      <x:c r="C40" s="2"/>
      <x:c r="D40" s="2"/>
      <x:c r="E40" s="2"/>
      <x:c r="F40" s="2"/>
      <x:c r="G40" s="2"/>
      <x:c r="H40" s="2"/>
      <x:c r="I40" s="2"/>
      <x:c r="J40" s="2"/>
    </x:row>
    <x:row r="41" ht="15" hidden="0" customHeight="1">
      <x:c r="C41" s="2"/>
      <x:c r="D41" s="2"/>
      <x:c r="E41" s="2"/>
      <x:c r="F41" s="2"/>
      <x:c r="G41" s="2"/>
      <x:c r="H41" s="2"/>
      <x:c r="I41" s="2"/>
      <x:c r="J41" s="2"/>
    </x:row>
    <x:row r="42" ht="15" hidden="0" customHeight="1">
      <x:c r="C42" s="2"/>
      <x:c r="D42" s="2"/>
      <x:c r="E42" s="2"/>
      <x:c r="F42" s="2"/>
      <x:c r="G42" s="2"/>
      <x:c r="H42" s="2"/>
      <x:c r="I42" s="2"/>
      <x:c r="J42" s="2"/>
    </x:row>
    <x:row r="43"/>
    <x:row r="44"/>
    <x:row r="45"/>
    <x:row r="46"/>
    <x:row r="47"/>
    <x:row r="48"/>
    <x:row r="49"/>
    <x:row r="50"/>
    <x:row r="51"/>
    <x:row r="52"/>
    <x:row r="53"/>
    <x:row r="54"/>
    <x:row r="55"/>
    <x:row r="56"/>
    <x:row r="57"/>
    <x:row r="58"/>
    <x:row r="59"/>
    <x:row r="60"/>
  </x:sheetData>
  <x:mergeCells>
    <x:mergeCell ref="C28:I28"/>
  </x:mergeCells>
  <x:conditionalFormatting sqref="E30:I31">
    <x:cfRule type="expression" dxfId="1" priority="1">
      <x:formula>ABS(E30)&gt;$D30</x:formula>
    </x:cfRule>
  </x:conditionalFormatting>
  <x:pageMargins left="0.7" right="0.7" top="0.75" bottom="0.75" header="0.3" footer="0.3"/>
</x:worksheet>
</file>

<file path=xl/worksheets/sheet10.xml><?xml version="1.0" encoding="utf-8"?>
<x:worksheet xmlns:x="http://schemas.openxmlformats.org/spreadsheetml/2006/main">
  <x:sheetPr>
    <x:tabColor rgb="FFD6B656"/>
  </x:sheetPr>
  <x:sheetViews>
    <x:sheetView showGridLines="0" workbookViewId="0">
      <x:pane ySplit="5" topLeftCell="A6" activePane="bottomLeft" state="frozen"/>
    </x:sheetView>
  </x:sheetViews>
  <x:sheetFormatPr defaultRowHeight="15"/>
  <x:cols>
    <x:col min="1" max="1" width="3" hidden="0" customWidth="1"/>
    <x:col min="2" max="2" width="3" hidden="0" customWidth="1"/>
    <x:col min="3" max="3" width="13" hidden="0" customWidth="1"/>
    <x:col min="4" max="4" width="29" hidden="0" customWidth="1"/>
    <x:col min="5" max="5" width="29" hidden="0" customWidth="1"/>
    <x:col min="6" max="6" width="13" hidden="0" customWidth="1"/>
    <x:col min="7" max="7" width="16" hidden="0" customWidth="1"/>
    <x:col min="8" max="8" width="16" hidden="0" customWidth="1"/>
    <x:col min="9" max="9" width="16" hidden="0" customWidth="1"/>
    <x:col min="10" max="10" width="42" hidden="0" customWidth="1"/>
  </x:cols>
  <x:sheetData>
    <x:row r="2" ht="18" hidden="0" customHeight="1">
      <x:c r="C2" s="3" t="str">
        <x:v>FPT 9M2025 operating facts</x:v>
      </x:c>
      <x:c r="D2" s="2"/>
      <x:c r="E2" s="2"/>
      <x:c r="F2" s="2"/>
      <x:c r="G2" s="2"/>
      <x:c r="H2" s="2"/>
      <x:c r="I2" s="2"/>
      <x:c r="J2" s="2"/>
    </x:row>
    <x:row r="3" ht="15" hidden="0" customHeight="1">
      <x:c r="C3" s="4" t="str">
        <x:v>Issuer-presented YTD values. Do not compare directly with annual figures without seasonality and period alignment.</x:v>
      </x:c>
      <x:c r="D3" s="2"/>
      <x:c r="E3" s="2"/>
      <x:c r="F3" s="2"/>
      <x:c r="G3" s="2"/>
      <x:c r="H3" s="2"/>
      <x:c r="I3" s="2"/>
      <x:c r="J3" s="2"/>
    </x:row>
    <x:row r="4" ht="15" hidden="0" customHeight="1">
      <x:c r="C4" s="5"/>
      <x:c r="D4" s="5"/>
      <x:c r="E4" s="5"/>
      <x:c r="F4" s="5"/>
      <x:c r="G4" s="5"/>
      <x:c r="H4" s="5"/>
      <x:c r="I4" s="5"/>
      <x:c r="J4" s="5"/>
      <x:c r="K4" s="6"/>
      <x:c r="L4" s="6"/>
      <x:c r="M4" s="6"/>
      <x:c r="N4" s="6"/>
      <x:c r="O4" s="6"/>
      <x:c r="P4" s="6"/>
      <x:c r="Q4" s="6"/>
    </x:row>
    <x:row r="5" ht="15" hidden="0" customHeight="1">
      <x:c r="C5" s="21" t="str">
        <x:v>Period</x:v>
      </x:c>
      <x:c r="D5" s="22" t="str">
        <x:v>Metric</x:v>
      </x:c>
      <x:c r="E5" s="22" t="str">
        <x:v>Segment</x:v>
      </x:c>
      <x:c r="F5" s="22" t="str">
        <x:v>Value</x:v>
      </x:c>
      <x:c r="G5" s="22" t="str">
        <x:v>Unit</x:v>
      </x:c>
      <x:c r="H5" s="22" t="str">
        <x:v>Source</x:v>
      </x:c>
      <x:c r="I5" s="22" t="str">
        <x:v>Page</x:v>
      </x:c>
      <x:c r="J5" s="23" t="str">
        <x:v>Comparison note</x:v>
      </x:c>
    </x:row>
    <x:row r="6" ht="15" hidden="0" customHeight="1">
      <x:c r="C6" s="151" t="n">
        <x:v>45930</x:v>
      </x:c>
      <x:c r="D6" s="2" t="str">
        <x:v>revenue</x:v>
      </x:c>
      <x:c r="E6" s="2" t="str">
        <x:v>group</x:v>
      </x:c>
      <x:c r="F6" s="52" t="n">
        <x:v>49887</x:v>
      </x:c>
      <x:c r="G6" s="2" t="str">
        <x:v>VND_billion</x:v>
      </x:c>
      <x:c r="H6" s="2" t="str">
        <x:v>fpt_earnings_9m2025</x:v>
      </x:c>
      <x:c r="I6" s="2" t="n">
        <x:v>2</x:v>
      </x:c>
      <x:c r="J6" s="2" t="str">
        <x:v>+10.3% YoY</x:v>
      </x:c>
    </x:row>
    <x:row r="7" ht="15" hidden="0" customHeight="1">
      <x:c r="C7" s="151" t="n">
        <x:v>45930</x:v>
      </x:c>
      <x:c r="D7" s="2" t="str">
        <x:v>profit_before_tax</x:v>
      </x:c>
      <x:c r="E7" s="2" t="str">
        <x:v>group</x:v>
      </x:c>
      <x:c r="F7" s="52" t="n">
        <x:v>9540</x:v>
      </x:c>
      <x:c r="G7" s="2" t="str">
        <x:v>VND_billion</x:v>
      </x:c>
      <x:c r="H7" s="2" t="str">
        <x:v>fpt_earnings_9m2025</x:v>
      </x:c>
      <x:c r="I7" s="2" t="n">
        <x:v>2</x:v>
      </x:c>
      <x:c r="J7" s="2" t="str">
        <x:v>+17.6% YoY</x:v>
      </x:c>
    </x:row>
    <x:row r="8" ht="15" hidden="0" customHeight="1">
      <x:c r="C8" s="151" t="n">
        <x:v>45930</x:v>
      </x:c>
      <x:c r="D8" s="2" t="str">
        <x:v>profit_after_tax</x:v>
      </x:c>
      <x:c r="E8" s="2" t="str">
        <x:v>group</x:v>
      </x:c>
      <x:c r="F8" s="52" t="n">
        <x:v>8237</x:v>
      </x:c>
      <x:c r="G8" s="2" t="str">
        <x:v>VND_billion</x:v>
      </x:c>
      <x:c r="H8" s="2" t="str">
        <x:v>fpt_earnings_9m2025</x:v>
      </x:c>
      <x:c r="I8" s="2" t="n">
        <x:v>2</x:v>
      </x:c>
      <x:c r="J8" s="2" t="str">
        <x:v>+18.9% YoY</x:v>
      </x:c>
    </x:row>
    <x:row r="9" ht="15" hidden="0" customHeight="1">
      <x:c r="C9" s="151" t="n">
        <x:v>45930</x:v>
      </x:c>
      <x:c r="D9" s="2" t="str">
        <x:v>parent_profit_after_tax</x:v>
      </x:c>
      <x:c r="E9" s="2" t="str">
        <x:v>group</x:v>
      </x:c>
      <x:c r="F9" s="52" t="n">
        <x:v>6867</x:v>
      </x:c>
      <x:c r="G9" s="2" t="str">
        <x:v>VND_billion</x:v>
      </x:c>
      <x:c r="H9" s="2" t="str">
        <x:v>fpt_earnings_9m2025</x:v>
      </x:c>
      <x:c r="I9" s="2" t="n">
        <x:v>3</x:v>
      </x:c>
      <x:c r="J9" s="2" t="str"/>
    </x:row>
    <x:row r="10" ht="15" hidden="0" customHeight="1">
      <x:c r="C10" s="151" t="n">
        <x:v>45930</x:v>
      </x:c>
      <x:c r="D10" s="2" t="str">
        <x:v>basic_eps</x:v>
      </x:c>
      <x:c r="E10" s="2" t="str">
        <x:v>group</x:v>
      </x:c>
      <x:c r="F10" s="52" t="n">
        <x:v>4043</x:v>
      </x:c>
      <x:c r="G10" s="2" t="str">
        <x:v>VND_per_share</x:v>
      </x:c>
      <x:c r="H10" s="2" t="str">
        <x:v>fpt_earnings_9m2025</x:v>
      </x:c>
      <x:c r="I10" s="2" t="n">
        <x:v>3</x:v>
      </x:c>
      <x:c r="J10" s="2" t="str"/>
    </x:row>
    <x:row r="11" ht="15" hidden="0" customHeight="1">
      <x:c r="C11" s="151" t="n">
        <x:v>45930</x:v>
      </x:c>
      <x:c r="D11" s="2" t="str">
        <x:v>revenue</x:v>
      </x:c>
      <x:c r="E11" s="2" t="str">
        <x:v>technology_sector</x:v>
      </x:c>
      <x:c r="F11" s="52" t="n">
        <x:v>30949</x:v>
      </x:c>
      <x:c r="G11" s="2" t="str">
        <x:v>VND_billion</x:v>
      </x:c>
      <x:c r="H11" s="2" t="str">
        <x:v>fpt_earnings_9m2025</x:v>
      </x:c>
      <x:c r="I11" s="2" t="n">
        <x:v>4</x:v>
      </x:c>
      <x:c r="J11" s="2" t="str">
        <x:v>+13.7% YoY</x:v>
      </x:c>
    </x:row>
    <x:row r="12" ht="15" hidden="0" customHeight="1">
      <x:c r="C12" s="151" t="n">
        <x:v>45930</x:v>
      </x:c>
      <x:c r="D12" s="2" t="str">
        <x:v>profit_before_tax</x:v>
      </x:c>
      <x:c r="E12" s="2" t="str">
        <x:v>technology_sector</x:v>
      </x:c>
      <x:c r="F12" s="52" t="n">
        <x:v>4333</x:v>
      </x:c>
      <x:c r="G12" s="2" t="str">
        <x:v>VND_billion</x:v>
      </x:c>
      <x:c r="H12" s="2" t="str">
        <x:v>fpt_earnings_9m2025</x:v>
      </x:c>
      <x:c r="I12" s="2" t="n">
        <x:v>4</x:v>
      </x:c>
      <x:c r="J12" s="2" t="str">
        <x:v>+10.7% YoY</x:v>
      </x:c>
    </x:row>
    <x:row r="13" ht="15" hidden="0" customHeight="1">
      <x:c r="C13" s="151" t="n">
        <x:v>45930</x:v>
      </x:c>
      <x:c r="D13" s="2" t="str">
        <x:v>revenue</x:v>
      </x:c>
      <x:c r="E13" s="2" t="str">
        <x:v>telecommunications_sector</x:v>
      </x:c>
      <x:c r="F13" s="52" t="n">
        <x:v>14287</x:v>
      </x:c>
      <x:c r="G13" s="2" t="str">
        <x:v>VND_billion</x:v>
      </x:c>
      <x:c r="H13" s="2" t="str">
        <x:v>fpt_earnings_9m2025</x:v>
      </x:c>
      <x:c r="I13" s="2" t="n">
        <x:v>4</x:v>
      </x:c>
      <x:c r="J13" s="2" t="str">
        <x:v>+11.6% YoY</x:v>
      </x:c>
    </x:row>
    <x:row r="14" ht="15" hidden="0" customHeight="1">
      <x:c r="C14" s="151" t="n">
        <x:v>45930</x:v>
      </x:c>
      <x:c r="D14" s="2" t="str">
        <x:v>profit_before_tax</x:v>
      </x:c>
      <x:c r="E14" s="2" t="str">
        <x:v>telecommunications_sector</x:v>
      </x:c>
      <x:c r="F14" s="52" t="n">
        <x:v>3228</x:v>
      </x:c>
      <x:c r="G14" s="2" t="str">
        <x:v>VND_billion</x:v>
      </x:c>
      <x:c r="H14" s="2" t="str">
        <x:v>fpt_earnings_9m2025</x:v>
      </x:c>
      <x:c r="I14" s="2" t="n">
        <x:v>4</x:v>
      </x:c>
      <x:c r="J14" s="2" t="str">
        <x:v>+21.0% YoY</x:v>
      </x:c>
    </x:row>
    <x:row r="15" ht="15" hidden="0" customHeight="1">
      <x:c r="C15" s="151" t="n">
        <x:v>45930</x:v>
      </x:c>
      <x:c r="D15" s="2" t="str">
        <x:v>revenue</x:v>
      </x:c>
      <x:c r="E15" s="2" t="str">
        <x:v>education_investment_other</x:v>
      </x:c>
      <x:c r="F15" s="52" t="n">
        <x:v>4651</x:v>
      </x:c>
      <x:c r="G15" s="2" t="str">
        <x:v>VND_billion</x:v>
      </x:c>
      <x:c r="H15" s="2" t="str">
        <x:v>fpt_earnings_9m2025</x:v>
      </x:c>
      <x:c r="I15" s="2" t="n">
        <x:v>4</x:v>
      </x:c>
      <x:c r="J15" s="2" t="str">
        <x:v>+3.9% YoY</x:v>
      </x:c>
    </x:row>
    <x:row r="16" ht="15" hidden="0" customHeight="1">
      <x:c r="C16" s="151" t="n">
        <x:v>45930</x:v>
      </x:c>
      <x:c r="D16" s="2" t="str">
        <x:v>profit_before_tax</x:v>
      </x:c>
      <x:c r="E16" s="2" t="str">
        <x:v>education_investment_other</x:v>
      </x:c>
      <x:c r="F16" s="52" t="n">
        <x:v>1979</x:v>
      </x:c>
      <x:c r="G16" s="2" t="str">
        <x:v>VND_billion</x:v>
      </x:c>
      <x:c r="H16" s="2" t="str">
        <x:v>fpt_earnings_9m2025</x:v>
      </x:c>
      <x:c r="I16" s="2" t="n">
        <x:v>4</x:v>
      </x:c>
      <x:c r="J16" s="2" t="str">
        <x:v>+21.2% YoY</x:v>
      </x:c>
    </x:row>
    <x:row r="17" ht="15" hidden="0" customHeight="1">
      <x:c r="C17" s="151" t="n">
        <x:v>45930</x:v>
      </x:c>
      <x:c r="D17" s="2" t="str">
        <x:v>revenue</x:v>
      </x:c>
      <x:c r="E17" s="2" t="str">
        <x:v>global_it_services</x:v>
      </x:c>
      <x:c r="F17" s="52" t="n">
        <x:v>25574</x:v>
      </x:c>
      <x:c r="G17" s="2" t="str">
        <x:v>VND_billion</x:v>
      </x:c>
      <x:c r="H17" s="2" t="str">
        <x:v>fpt_earnings_9m2025</x:v>
      </x:c>
      <x:c r="I17" s="2" t="n">
        <x:v>5</x:v>
      </x:c>
      <x:c r="J17" s="2" t="str">
        <x:v>+12.8% YoY</x:v>
      </x:c>
    </x:row>
    <x:row r="18" ht="15" hidden="0" customHeight="1">
      <x:c r="C18" s="151" t="n">
        <x:v>45930</x:v>
      </x:c>
      <x:c r="D18" s="2" t="str">
        <x:v>profit_before_tax</x:v>
      </x:c>
      <x:c r="E18" s="2" t="str">
        <x:v>global_it_services</x:v>
      </x:c>
      <x:c r="F18" s="52" t="n">
        <x:v>4073</x:v>
      </x:c>
      <x:c r="G18" s="2" t="str">
        <x:v>VND_billion</x:v>
      </x:c>
      <x:c r="H18" s="2" t="str">
        <x:v>fpt_earnings_9m2025</x:v>
      </x:c>
      <x:c r="I18" s="2" t="n">
        <x:v>5</x:v>
      </x:c>
      <x:c r="J18" s="2" t="str">
        <x:v>+12.7% YoY</x:v>
      </x:c>
    </x:row>
    <x:row r="19" ht="15" hidden="0" customHeight="1">
      <x:c r="C19" s="151" t="n">
        <x:v>45930</x:v>
      </x:c>
      <x:c r="D19" s="2" t="str">
        <x:v>revenue</x:v>
      </x:c>
      <x:c r="E19" s="2" t="str">
        <x:v>domestic_it_services</x:v>
      </x:c>
      <x:c r="F19" s="52" t="n">
        <x:v>5376</x:v>
      </x:c>
      <x:c r="G19" s="2" t="str">
        <x:v>VND_billion</x:v>
      </x:c>
      <x:c r="H19" s="2" t="str">
        <x:v>fpt_earnings_9m2025</x:v>
      </x:c>
      <x:c r="I19" s="2" t="n">
        <x:v>5</x:v>
      </x:c>
      <x:c r="J19" s="2" t="str">
        <x:v>+1.5% YoY</x:v>
      </x:c>
    </x:row>
    <x:row r="20" ht="15" hidden="0" customHeight="1">
      <x:c r="C20" s="151" t="n">
        <x:v>45930</x:v>
      </x:c>
      <x:c r="D20" s="2" t="str">
        <x:v>profit_before_tax</x:v>
      </x:c>
      <x:c r="E20" s="2" t="str">
        <x:v>domestic_it_services</x:v>
      </x:c>
      <x:c r="F20" s="52" t="n">
        <x:v>260</x:v>
      </x:c>
      <x:c r="G20" s="2" t="str">
        <x:v>VND_billion</x:v>
      </x:c>
      <x:c r="H20" s="2" t="str">
        <x:v>fpt_earnings_9m2025</x:v>
      </x:c>
      <x:c r="I20" s="2" t="n">
        <x:v>5</x:v>
      </x:c>
      <x:c r="J20" s="2" t="str">
        <x:v>+31.9% YoY</x:v>
      </x:c>
    </x:row>
    <x:row r="21" ht="15" hidden="0" customHeight="1">
      <x:c r="C21" s="151" t="n">
        <x:v>45930</x:v>
      </x:c>
      <x:c r="D21" s="2" t="str">
        <x:v>revenue</x:v>
      </x:c>
      <x:c r="E21" s="2" t="str">
        <x:v>telecom_services</x:v>
      </x:c>
      <x:c r="F21" s="52" t="n">
        <x:v>13738</x:v>
      </x:c>
      <x:c r="G21" s="2" t="str">
        <x:v>VND_billion</x:v>
      </x:c>
      <x:c r="H21" s="2" t="str">
        <x:v>fpt_earnings_9m2025</x:v>
      </x:c>
      <x:c r="I21" s="2" t="n">
        <x:v>5</x:v>
      </x:c>
      <x:c r="J21" s="2" t="str">
        <x:v>+11.5% YoY</x:v>
      </x:c>
    </x:row>
    <x:row r="22" ht="15" hidden="0" customHeight="1">
      <x:c r="C22" s="151" t="n">
        <x:v>45930</x:v>
      </x:c>
      <x:c r="D22" s="2" t="str">
        <x:v>profit_before_tax</x:v>
      </x:c>
      <x:c r="E22" s="2" t="str">
        <x:v>telecom_services</x:v>
      </x:c>
      <x:c r="F22" s="52" t="n">
        <x:v>3091</x:v>
      </x:c>
      <x:c r="G22" s="2" t="str">
        <x:v>VND_billion</x:v>
      </x:c>
      <x:c r="H22" s="2" t="str">
        <x:v>fpt_earnings_9m2025</x:v>
      </x:c>
      <x:c r="I22" s="2" t="n">
        <x:v>5</x:v>
      </x:c>
      <x:c r="J22" s="2" t="str">
        <x:v>+21.3% YoY</x:v>
      </x:c>
    </x:row>
    <x:row r="23" ht="15" hidden="0" customHeight="1">
      <x:c r="C23" s="151" t="n">
        <x:v>45930</x:v>
      </x:c>
      <x:c r="D23" s="2" t="str">
        <x:v>revenue</x:v>
      </x:c>
      <x:c r="E23" s="2" t="str">
        <x:v>online_advertising</x:v>
      </x:c>
      <x:c r="F23" s="52" t="n">
        <x:v>549</x:v>
      </x:c>
      <x:c r="G23" s="2" t="str">
        <x:v>VND_billion</x:v>
      </x:c>
      <x:c r="H23" s="2" t="str">
        <x:v>fpt_earnings_9m2025</x:v>
      </x:c>
      <x:c r="I23" s="2" t="n">
        <x:v>5</x:v>
      </x:c>
      <x:c r="J23" s="2" t="str">
        <x:v>+14.4% YoY</x:v>
      </x:c>
    </x:row>
    <x:row r="24" ht="15" hidden="0" customHeight="1">
      <x:c r="C24" s="151" t="n">
        <x:v>45930</x:v>
      </x:c>
      <x:c r="D24" s="2" t="str">
        <x:v>profit_before_tax</x:v>
      </x:c>
      <x:c r="E24" s="2" t="str">
        <x:v>online_advertising</x:v>
      </x:c>
      <x:c r="F24" s="52" t="n">
        <x:v>137</x:v>
      </x:c>
      <x:c r="G24" s="2" t="str">
        <x:v>VND_billion</x:v>
      </x:c>
      <x:c r="H24" s="2" t="str">
        <x:v>fpt_earnings_9m2025</x:v>
      </x:c>
      <x:c r="I24" s="2" t="n">
        <x:v>5</x:v>
      </x:c>
      <x:c r="J24" s="2" t="str">
        <x:v>+14.8% YoY</x:v>
      </x:c>
    </x:row>
    <x:row r="25" ht="15" hidden="0" customHeight="1">
      <x:c r="C25" s="151" t="n">
        <x:v>45930</x:v>
      </x:c>
      <x:c r="D25" s="2" t="str">
        <x:v>revenue</x:v>
      </x:c>
      <x:c r="E25" s="2" t="str">
        <x:v>digital_transformation_global_it</x:v>
      </x:c>
      <x:c r="F25" s="52" t="n">
        <x:v>12387</x:v>
      </x:c>
      <x:c r="G25" s="2" t="str">
        <x:v>VND_billion</x:v>
      </x:c>
      <x:c r="H25" s="2" t="str">
        <x:v>fpt_earnings_9m2025</x:v>
      </x:c>
      <x:c r="I25" s="2" t="n">
        <x:v>6</x:v>
      </x:c>
      <x:c r="J25" s="2" t="str">
        <x:v>+19.0% YoY</x:v>
      </x:c>
    </x:row>
    <x:row r="26" ht="15" hidden="0" customHeight="1">
      <x:c r="C26" s="151" t="n">
        <x:v>45930</x:v>
      </x:c>
      <x:c r="D26" s="2" t="str">
        <x:v>revenue</x:v>
      </x:c>
      <x:c r="E26" s="2" t="str">
        <x:v>global_it_japan</x:v>
      </x:c>
      <x:c r="F26" s="52" t="n">
        <x:v>11264</x:v>
      </x:c>
      <x:c r="G26" s="2" t="str">
        <x:v>VND_billion</x:v>
      </x:c>
      <x:c r="H26" s="2" t="str">
        <x:v>fpt_earnings_9m2025</x:v>
      </x:c>
      <x:c r="I26" s="2" t="n">
        <x:v>6</x:v>
      </x:c>
      <x:c r="J26" s="2" t="str">
        <x:v>+26.3% VND-based; +23.2% JPY-based</x:v>
      </x:c>
    </x:row>
    <x:row r="27" ht="15" hidden="0" customHeight="1">
      <x:c r="C27" s="151" t="n">
        <x:v>45930</x:v>
      </x:c>
      <x:c r="D27" s="2" t="str">
        <x:v>revenue</x:v>
      </x:c>
      <x:c r="E27" s="2" t="str">
        <x:v>global_it_us</x:v>
      </x:c>
      <x:c r="F27" s="52" t="n">
        <x:v>6087</x:v>
      </x:c>
      <x:c r="G27" s="2" t="str">
        <x:v>VND_billion</x:v>
      </x:c>
      <x:c r="H27" s="2" t="str">
        <x:v>fpt_earnings_9m2025</x:v>
      </x:c>
      <x:c r="I27" s="2" t="n">
        <x:v>6</x:v>
      </x:c>
      <x:c r="J27" s="2" t="str">
        <x:v>+7.5% YoY</x:v>
      </x:c>
    </x:row>
    <x:row r="28" ht="15" hidden="0" customHeight="1">
      <x:c r="C28" s="151" t="n">
        <x:v>45930</x:v>
      </x:c>
      <x:c r="D28" s="2" t="str">
        <x:v>revenue</x:v>
      </x:c>
      <x:c r="E28" s="2" t="str">
        <x:v>global_it_eu</x:v>
      </x:c>
      <x:c r="F28" s="52" t="n">
        <x:v>2528</x:v>
      </x:c>
      <x:c r="G28" s="2" t="str">
        <x:v>VND_billion</x:v>
      </x:c>
      <x:c r="H28" s="2" t="str">
        <x:v>fpt_earnings_9m2025</x:v>
      </x:c>
      <x:c r="I28" s="2" t="n">
        <x:v>6</x:v>
      </x:c>
      <x:c r="J28" s="2" t="str">
        <x:v>+30.8% YoY</x:v>
      </x:c>
    </x:row>
    <x:row r="29" ht="15" hidden="0" customHeight="1">
      <x:c r="C29" s="151" t="n">
        <x:v>45930</x:v>
      </x:c>
      <x:c r="D29" s="2" t="str">
        <x:v>revenue</x:v>
      </x:c>
      <x:c r="E29" s="2" t="str">
        <x:v>global_it_apac</x:v>
      </x:c>
      <x:c r="F29" s="52" t="n">
        <x:v>5694</x:v>
      </x:c>
      <x:c r="G29" s="2" t="str">
        <x:v>VND_billion</x:v>
      </x:c>
      <x:c r="H29" s="2" t="str">
        <x:v>fpt_earnings_9m2025</x:v>
      </x:c>
      <x:c r="I29" s="2" t="n">
        <x:v>6</x:v>
      </x:c>
      <x:c r="J29" s="2" t="str">
        <x:v>-7.5% YoY</x:v>
      </x:c>
    </x:row>
    <x:row r="30" ht="15" hidden="0" customHeight="1">
      <x:c r="C30" s="151" t="n">
        <x:v>45930</x:v>
      </x:c>
      <x:c r="D30" s="2" t="str">
        <x:v>signed_revenue</x:v>
      </x:c>
      <x:c r="E30" s="2" t="str">
        <x:v>global_it_services</x:v>
      </x:c>
      <x:c r="F30" s="52" t="n">
        <x:v>29363</x:v>
      </x:c>
      <x:c r="G30" s="2" t="str">
        <x:v>VND_billion</x:v>
      </x:c>
      <x:c r="H30" s="2" t="str">
        <x:v>fpt_earnings_9m2025</x:v>
      </x:c>
      <x:c r="I30" s="2" t="n">
        <x:v>7</x:v>
      </x:c>
      <x:c r="J30" s="2" t="str">
        <x:v>+14.4% YoY</x:v>
      </x:c>
    </x:row>
    <x:row r="31" ht="15" hidden="0" customHeight="1">
      <x:c r="C31" s="151" t="n">
        <x:v>45930</x:v>
      </x:c>
      <x:c r="D31" s="2" t="str">
        <x:v>client_count_revenue_ge_500k_usd</x:v>
      </x:c>
      <x:c r="E31" s="2" t="str">
        <x:v>global_it_services</x:v>
      </x:c>
      <x:c r="F31" s="52" t="n">
        <x:v>349</x:v>
      </x:c>
      <x:c r="G31" s="2" t="str">
        <x:v>count</x:v>
      </x:c>
      <x:c r="H31" s="2" t="str">
        <x:v>fpt_earnings_9m2025</x:v>
      </x:c>
      <x:c r="I31" s="2" t="n">
        <x:v>7</x:v>
      </x:c>
      <x:c r="J31" s="2" t="str">
        <x:v>+2.6% YoY</x:v>
      </x:c>
    </x:row>
    <x:row r="32" ht="15" hidden="0" customHeight="1">
      <x:c r="C32" s="151" t="n">
        <x:v>45930</x:v>
      </x:c>
      <x:c r="D32" s="2" t="str">
        <x:v>client_count_revenue_ge_1m_usd</x:v>
      </x:c>
      <x:c r="E32" s="2" t="str">
        <x:v>global_it_services</x:v>
      </x:c>
      <x:c r="F32" s="52" t="n">
        <x:v>220</x:v>
      </x:c>
      <x:c r="G32" s="2" t="str">
        <x:v>count</x:v>
      </x:c>
      <x:c r="H32" s="2" t="str">
        <x:v>fpt_earnings_9m2025</x:v>
      </x:c>
      <x:c r="I32" s="2" t="n">
        <x:v>7</x:v>
      </x:c>
      <x:c r="J32" s="2" t="str">
        <x:v>+11.1% YoY</x:v>
      </x:c>
    </x:row>
    <x:row r="33" ht="15" hidden="0" customHeight="1">
      <x:c r="C33" s="151" t="n">
        <x:v>45930</x:v>
      </x:c>
      <x:c r="D33" s="2" t="str">
        <x:v>deal_count_500k_to_1m_usd</x:v>
      </x:c>
      <x:c r="E33" s="2" t="str">
        <x:v>global_it_services</x:v>
      </x:c>
      <x:c r="F33" s="52" t="n">
        <x:v>172</x:v>
      </x:c>
      <x:c r="G33" s="2" t="str">
        <x:v>count</x:v>
      </x:c>
      <x:c r="H33" s="2" t="str">
        <x:v>fpt_earnings_9m2025</x:v>
      </x:c>
      <x:c r="I33" s="2" t="n">
        <x:v>7</x:v>
      </x:c>
      <x:c r="J33" s="2" t="str">
        <x:v>+18% YoY; report calls these semi-mega deals</x:v>
      </x:c>
    </x:row>
    <x:row r="34" ht="15" hidden="0" customHeight="1">
      <x:c r="C34" s="151" t="n">
        <x:v>45930</x:v>
      </x:c>
      <x:c r="D34" s="2" t="str">
        <x:v>deal_count_1m_to_10m_usd</x:v>
      </x:c>
      <x:c r="E34" s="2" t="str">
        <x:v>global_it_services</x:v>
      </x:c>
      <x:c r="F34" s="52" t="n">
        <x:v>126</x:v>
      </x:c>
      <x:c r="G34" s="2" t="str">
        <x:v>count</x:v>
      </x:c>
      <x:c r="H34" s="2" t="str">
        <x:v>fpt_earnings_9m2025</x:v>
      </x:c>
      <x:c r="I34" s="2" t="n">
        <x:v>7</x:v>
      </x:c>
      <x:c r="J34" s="2" t="str">
        <x:v>-22% YoY; report calls these mega deals</x:v>
      </x:c>
    </x:row>
    <x:row r="35" ht="15" hidden="0" customHeight="1">
      <x:c r="C35" s="151" t="n">
        <x:v>45930</x:v>
      </x:c>
      <x:c r="D35" s="2" t="str">
        <x:v>deal_count_ge_10m_usd</x:v>
      </x:c>
      <x:c r="E35" s="2" t="str">
        <x:v>global_it_services</x:v>
      </x:c>
      <x:c r="F35" s="52" t="n">
        <x:v>19</x:v>
      </x:c>
      <x:c r="G35" s="2" t="str">
        <x:v>count</x:v>
      </x:c>
      <x:c r="H35" s="2" t="str">
        <x:v>fpt_earnings_9m2025</x:v>
      </x:c>
      <x:c r="I35" s="2" t="n">
        <x:v>7</x:v>
      </x:c>
      <x:c r="J35" s="2" t="str">
        <x:v>+90% YoY</x:v>
      </x:c>
    </x:row>
    <x:row r="36" ht="15" hidden="0" customHeight="1">
      <x:c r="C36" s="151" t="n">
        <x:v>45930</x:v>
      </x:c>
      <x:c r="D36" s="2" t="str">
        <x:v>revenue</x:v>
      </x:c>
      <x:c r="E36" s="2" t="str">
        <x:v>made_by_fpt</x:v>
      </x:c>
      <x:c r="F36" s="52" t="n">
        <x:v>1845</x:v>
      </x:c>
      <x:c r="G36" s="2" t="str">
        <x:v>VND_billion</x:v>
      </x:c>
      <x:c r="H36" s="2" t="str">
        <x:v>fpt_earnings_9m2025</x:v>
      </x:c>
      <x:c r="I36" s="2" t="n">
        <x:v>8</x:v>
      </x:c>
      <x:c r="J36" s="2" t="str">
        <x:v>+22.8% YoY</x:v>
      </x:c>
    </x:row>
    <x:row r="37" ht="15" hidden="0" customHeight="1">
      <x:c r="C37" s="151" t="n">
        <x:v>45930</x:v>
      </x:c>
      <x:c r="D37" s="2" t="str">
        <x:v>revenue</x:v>
      </x:c>
      <x:c r="E37" s="2" t="str">
        <x:v>telecom_broadband</x:v>
      </x:c>
      <x:c r="F37" s="52" t="n">
        <x:v>7389</x:v>
      </x:c>
      <x:c r="G37" s="2" t="str">
        <x:v>VND_billion</x:v>
      </x:c>
      <x:c r="H37" s="2" t="str">
        <x:v>fpt_earnings_9m2025</x:v>
      </x:c>
      <x:c r="I37" s="2" t="n">
        <x:v>9</x:v>
      </x:c>
      <x:c r="J37" s="2" t="str">
        <x:v>comparison layout visually verified</x:v>
      </x:c>
    </x:row>
    <x:row r="38" ht="15" hidden="0" customHeight="1">
      <x:c r="C38" s="151" t="n">
        <x:v>45930</x:v>
      </x:c>
      <x:c r="D38" s="2" t="str">
        <x:v>revenue</x:v>
      </x:c>
      <x:c r="E38" s="2" t="str">
        <x:v>telecom_other</x:v>
      </x:c>
      <x:c r="F38" s="52" t="n">
        <x:v>6350</x:v>
      </x:c>
      <x:c r="G38" s="2" t="str">
        <x:v>VND_billion</x:v>
      </x:c>
      <x:c r="H38" s="2" t="str">
        <x:v>fpt_earnings_9m2025</x:v>
      </x:c>
      <x:c r="I38" s="2" t="n">
        <x:v>9</x:v>
      </x:c>
      <x:c r="J38" s="2" t="str">
        <x:v>comparison layout visually verified</x:v>
      </x:c>
    </x:row>
    <x:row r="39" ht="15" hidden="0" customHeight="1">
      <x:c r="C39" s="151" t="n">
        <x:v>45930</x:v>
      </x:c>
      <x:c r="D39" s="2" t="str">
        <x:v>revenue</x:v>
      </x:c>
      <x:c r="E39" s="2" t="str">
        <x:v>education</x:v>
      </x:c>
      <x:c r="F39" s="52" t="n">
        <x:v>5195</x:v>
      </x:c>
      <x:c r="G39" s="2" t="str">
        <x:v>VND_billion</x:v>
      </x:c>
      <x:c r="H39" s="2" t="str">
        <x:v>fpt_earnings_9m2025</x:v>
      </x:c>
      <x:c r="I39" s="2" t="n">
        <x:v>10</x:v>
      </x:c>
      <x:c r="J39" s="2" t="str">
        <x:v>+1.0% YoY</x:v>
      </x:c>
    </x:row>
    <x:row r="40" ht="15" hidden="0" customHeight="1">
      <x:c r="C40" s="2"/>
      <x:c r="D40" s="2"/>
      <x:c r="E40" s="2"/>
      <x:c r="F40" s="2"/>
      <x:c r="G40" s="2"/>
      <x:c r="H40" s="2"/>
      <x:c r="I40" s="2"/>
      <x:c r="J40" s="2"/>
    </x:row>
    <x:row r="41" ht="15" hidden="0" customHeight="1">
      <x:c r="C41" s="2"/>
      <x:c r="D41" s="2"/>
      <x:c r="E41" s="2"/>
      <x:c r="F41" s="2"/>
      <x:c r="G41" s="2"/>
      <x:c r="H41" s="2"/>
      <x:c r="I41" s="2"/>
      <x:c r="J41" s="2"/>
    </x:row>
    <x:row r="42" ht="15" hidden="0" customHeight="1">
      <x:c r="C42" s="2"/>
      <x:c r="D42" s="2"/>
      <x:c r="E42" s="2"/>
      <x:c r="F42" s="2"/>
      <x:c r="G42" s="2"/>
      <x:c r="H42" s="2"/>
      <x:c r="I42" s="2"/>
      <x:c r="J42" s="2"/>
    </x:row>
    <x:row r="43" ht="15" hidden="0" customHeight="1">
      <x:c r="C43" s="2"/>
      <x:c r="D43" s="2"/>
      <x:c r="E43" s="2"/>
      <x:c r="F43" s="2"/>
      <x:c r="G43" s="2"/>
      <x:c r="H43" s="2"/>
      <x:c r="I43" s="2"/>
      <x:c r="J43" s="2"/>
    </x:row>
    <x:row r="44" ht="15" hidden="0" customHeight="1">
      <x:c r="C44" s="2"/>
      <x:c r="D44" s="2"/>
      <x:c r="E44" s="2"/>
      <x:c r="F44" s="2"/>
      <x:c r="G44" s="2"/>
      <x:c r="H44" s="2"/>
      <x:c r="I44" s="2"/>
      <x:c r="J44" s="2"/>
    </x:row>
    <x:row r="45" ht="15" hidden="0" customHeight="1">
      <x:c r="C45" s="2"/>
      <x:c r="D45" s="2"/>
      <x:c r="E45" s="2"/>
      <x:c r="F45" s="2"/>
      <x:c r="G45" s="2"/>
      <x:c r="H45" s="2"/>
      <x:c r="I45" s="2"/>
      <x:c r="J45" s="2"/>
    </x:row>
    <x:row r="46" ht="15" hidden="0" customHeight="1">
      <x:c r="C46" s="2"/>
      <x:c r="D46" s="2"/>
      <x:c r="E46" s="2"/>
      <x:c r="F46" s="2"/>
      <x:c r="G46" s="2"/>
      <x:c r="H46" s="2"/>
      <x:c r="I46" s="2"/>
      <x:c r="J46" s="2"/>
    </x:row>
    <x:row r="47" ht="15" hidden="0" customHeight="1">
      <x:c r="C47" s="2"/>
      <x:c r="D47" s="2"/>
      <x:c r="E47" s="2"/>
      <x:c r="F47" s="2"/>
      <x:c r="G47" s="2"/>
      <x:c r="H47" s="2"/>
      <x:c r="I47" s="2"/>
      <x:c r="J47" s="2"/>
    </x:row>
    <x:row r="48" ht="15" hidden="0" customHeight="1">
      <x:c r="C48" s="2"/>
      <x:c r="D48" s="2"/>
      <x:c r="E48" s="2"/>
      <x:c r="F48" s="2"/>
      <x:c r="G48" s="2"/>
      <x:c r="H48" s="2"/>
      <x:c r="I48" s="2"/>
      <x:c r="J48" s="2"/>
    </x:row>
    <x:row r="49" ht="15" hidden="0" customHeight="1">
      <x:c r="C49" s="2"/>
      <x:c r="D49" s="2"/>
      <x:c r="E49" s="2"/>
      <x:c r="F49" s="2"/>
      <x:c r="G49" s="2"/>
      <x:c r="H49" s="2"/>
      <x:c r="I49" s="2"/>
      <x:c r="J49" s="2"/>
    </x:row>
    <x:row r="50" ht="15" hidden="0" customHeight="1">
      <x:c r="C50" s="2"/>
      <x:c r="D50" s="2"/>
      <x:c r="E50" s="2"/>
      <x:c r="F50" s="2"/>
      <x:c r="G50" s="2"/>
      <x:c r="H50" s="2"/>
      <x:c r="I50" s="2"/>
      <x:c r="J50" s="2"/>
    </x:row>
    <x:row r="51"/>
    <x:row r="52"/>
    <x:row r="53"/>
    <x:row r="54"/>
    <x:row r="55"/>
    <x:row r="56"/>
    <x:row r="57"/>
    <x:row r="58"/>
    <x:row r="59"/>
    <x:row r="60"/>
  </x:sheetData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Pr>
    <x:tabColor rgb="FFD6B656"/>
  </x:sheetPr>
  <x:sheetViews>
    <x:sheetView showGridLines="0" workbookViewId="0">
      <x:pane ySplit="5" topLeftCell="A6" activePane="bottomLeft" state="frozen"/>
    </x:sheetView>
  </x:sheetViews>
  <x:sheetFormatPr defaultRowHeight="15"/>
  <x:cols>
    <x:col min="1" max="1" width="3" hidden="0" customWidth="1"/>
    <x:col min="2" max="2" width="3" hidden="0" customWidth="1"/>
    <x:col min="3" max="3" width="16" hidden="0" customWidth="1"/>
    <x:col min="4" max="4" width="16" hidden="0" customWidth="1"/>
    <x:col min="5" max="5" width="16" hidden="0" customWidth="1"/>
    <x:col min="6" max="6" width="16" hidden="0" customWidth="1"/>
    <x:col min="7" max="7" width="16" hidden="0" customWidth="1"/>
    <x:col min="8" max="8" width="16" hidden="0" customWidth="1"/>
    <x:col min="9" max="9" width="16" hidden="0" customWidth="1"/>
    <x:col min="10" max="10" width="48" hidden="0" customWidth="1"/>
  </x:cols>
  <x:sheetData>
    <x:row r="2" ht="18" hidden="0" customHeight="1">
      <x:c r="C2" s="3" t="str">
        <x:v>EPS values by filing version</x:v>
      </x:c>
      <x:c r="D2" s="2"/>
      <x:c r="E2" s="2"/>
      <x:c r="F2" s="2"/>
      <x:c r="G2" s="2"/>
      <x:c r="H2" s="2"/>
      <x:c r="I2" s="2"/>
      <x:c r="J2" s="2"/>
    </x:row>
    <x:row r="3" ht="15" hidden="0" customHeight="1">
      <x:c r="C3" s="4" t="str">
        <x:v>Comparative EPS changes across filings. The DCF uses current shares outstanding from the Q3 2025 balance sheet.</x:v>
      </x:c>
      <x:c r="D3" s="2"/>
      <x:c r="E3" s="2"/>
      <x:c r="F3" s="2"/>
      <x:c r="G3" s="2"/>
      <x:c r="H3" s="2"/>
      <x:c r="I3" s="2"/>
      <x:c r="J3" s="2"/>
    </x:row>
    <x:row r="4" ht="15" hidden="0" customHeight="1">
      <x:c r="C4" s="5"/>
      <x:c r="D4" s="5"/>
      <x:c r="E4" s="5"/>
      <x:c r="F4" s="5"/>
      <x:c r="G4" s="5"/>
      <x:c r="H4" s="5"/>
      <x:c r="I4" s="5"/>
      <x:c r="J4" s="5"/>
      <x:c r="K4" s="6"/>
      <x:c r="L4" s="6"/>
      <x:c r="M4" s="6"/>
      <x:c r="N4" s="6"/>
      <x:c r="O4" s="6"/>
      <x:c r="P4" s="6"/>
      <x:c r="Q4" s="6"/>
    </x:row>
    <x:row r="5" ht="15" hidden="0" customHeight="1">
      <x:c r="C5" s="21" t="str">
        <x:v>Source</x:v>
      </x:c>
      <x:c r="D5" s="22" t="str">
        <x:v>Filing year</x:v>
      </x:c>
      <x:c r="E5" s="22" t="str">
        <x:v>Observation year</x:v>
      </x:c>
      <x:c r="F5" s="22" t="str">
        <x:v>Basic EPS</x:v>
      </x:c>
      <x:c r="G5" s="22" t="str">
        <x:v>Diluted EPS</x:v>
      </x:c>
      <x:c r="H5" s="22" t="str">
        <x:v>Presentation</x:v>
      </x:c>
      <x:c r="I5" s="22" t="str">
        <x:v>Page</x:v>
      </x:c>
      <x:c r="J5" s="23" t="str">
        <x:v>Note</x:v>
      </x:c>
    </x:row>
    <x:row r="6" ht="24" hidden="0" customHeight="1">
      <x:c r="C6" s="2" t="str">
        <x:v>fpt_ar_2021</x:v>
      </x:c>
      <x:c r="D6" s="2" t="n">
        <x:v>2021</x:v>
      </x:c>
      <x:c r="E6" s="2" t="n">
        <x:v>2020</x:v>
      </x:c>
      <x:c r="F6" s="45" t="n">
        <x:v>3579</x:v>
      </x:c>
      <x:c r="G6" s="45" t="n">
        <x:v>3579</x:v>
      </x:c>
      <x:c r="H6" s="2" t="str">
        <x:v>comparative</x:v>
      </x:c>
      <x:c r="I6" s="2" t="n">
        <x:v>74</x:v>
      </x:c>
      <x:c r="J6" s="55" t="str">
        <x:v>as reclassified in 2021 filing</x:v>
      </x:c>
    </x:row>
    <x:row r="7" ht="24" hidden="0" customHeight="1">
      <x:c r="C7" s="2" t="str">
        <x:v>fpt_ar_2021</x:v>
      </x:c>
      <x:c r="D7" s="2" t="n">
        <x:v>2021</x:v>
      </x:c>
      <x:c r="E7" s="2" t="n">
        <x:v>2021</x:v>
      </x:c>
      <x:c r="F7" s="45" t="n">
        <x:v>4349</x:v>
      </x:c>
      <x:c r="G7" s="45" t="n">
        <x:v>4349</x:v>
      </x:c>
      <x:c r="H7" s="2" t="str">
        <x:v>current_year</x:v>
      </x:c>
      <x:c r="I7" s="2" t="n">
        <x:v>74</x:v>
      </x:c>
      <x:c r="J7" s="55" t="str">
        <x:v>as presented</x:v>
      </x:c>
    </x:row>
    <x:row r="8" ht="24" hidden="0" customHeight="1">
      <x:c r="C8" s="2" t="str">
        <x:v>fpt_ar_2022</x:v>
      </x:c>
      <x:c r="D8" s="2" t="n">
        <x:v>2022</x:v>
      </x:c>
      <x:c r="E8" s="2" t="n">
        <x:v>2021</x:v>
      </x:c>
      <x:c r="F8" s="45" t="n">
        <x:v>3618</x:v>
      </x:c>
      <x:c r="G8" s="45" t="n">
        <x:v>3618</x:v>
      </x:c>
      <x:c r="H8" s="2" t="str">
        <x:v>comparative</x:v>
      </x:c>
      <x:c r="I8" s="2" t="n">
        <x:v>73</x:v>
      </x:c>
      <x:c r="J8" s="55" t="str">
        <x:v>comparative EPS differs from prior filing due to per-share restatement effects</x:v>
      </x:c>
    </x:row>
    <x:row r="9" ht="24" hidden="0" customHeight="1">
      <x:c r="C9" s="2" t="str">
        <x:v>fpt_ar_2022</x:v>
      </x:c>
      <x:c r="D9" s="2" t="n">
        <x:v>2022</x:v>
      </x:c>
      <x:c r="E9" s="2" t="n">
        <x:v>2022</x:v>
      </x:c>
      <x:c r="F9" s="45" t="n">
        <x:v>4429</x:v>
      </x:c>
      <x:c r="G9" s="45" t="n">
        <x:v>4429</x:v>
      </x:c>
      <x:c r="H9" s="2" t="str">
        <x:v>current_year</x:v>
      </x:c>
      <x:c r="I9" s="2" t="n">
        <x:v>73</x:v>
      </x:c>
      <x:c r="J9" s="55" t="str">
        <x:v>as presented</x:v>
      </x:c>
    </x:row>
    <x:row r="10" ht="24" hidden="0" customHeight="1">
      <x:c r="C10" s="2" t="str">
        <x:v>fpt_ar_2023</x:v>
      </x:c>
      <x:c r="D10" s="2" t="n">
        <x:v>2023</x:v>
      </x:c>
      <x:c r="E10" s="2" t="n">
        <x:v>2022</x:v>
      </x:c>
      <x:c r="F10" s="45" t="n">
        <x:v>3847</x:v>
      </x:c>
      <x:c r="G10" s="45" t="n">
        <x:v>3847</x:v>
      </x:c>
      <x:c r="H10" s="2" t="str">
        <x:v>comparative</x:v>
      </x:c>
      <x:c r="I10" s="2" t="n">
        <x:v>149</x:v>
      </x:c>
      <x:c r="J10" s="55" t="str">
        <x:v>comparative EPS differs from prior filing</x:v>
      </x:c>
    </x:row>
    <x:row r="11" ht="24" hidden="0" customHeight="1">
      <x:c r="C11" s="2" t="str">
        <x:v>fpt_ar_2023</x:v>
      </x:c>
      <x:c r="D11" s="2" t="n">
        <x:v>2023</x:v>
      </x:c>
      <x:c r="E11" s="2" t="n">
        <x:v>2023</x:v>
      </x:c>
      <x:c r="F11" s="45" t="n">
        <x:v>4661</x:v>
      </x:c>
      <x:c r="G11" s="45" t="n">
        <x:v>4661</x:v>
      </x:c>
      <x:c r="H11" s="2" t="str">
        <x:v>current_year</x:v>
      </x:c>
      <x:c r="I11" s="2" t="n">
        <x:v>149</x:v>
      </x:c>
      <x:c r="J11" s="55" t="str">
        <x:v>as presented</x:v>
      </x:c>
    </x:row>
    <x:row r="12" ht="24" hidden="0" customHeight="1">
      <x:c r="C12" s="2" t="str">
        <x:v>fpt_ar_2024</x:v>
      </x:c>
      <x:c r="D12" s="2" t="n">
        <x:v>2024</x:v>
      </x:c>
      <x:c r="E12" s="2" t="n">
        <x:v>2023</x:v>
      </x:c>
      <x:c r="F12" s="45" t="n">
        <x:v>4052</x:v>
      </x:c>
      <x:c r="G12" s="45" t="n">
        <x:v>4052</x:v>
      </x:c>
      <x:c r="H12" s="2" t="str">
        <x:v>comparative</x:v>
      </x:c>
      <x:c r="I12" s="2" t="n">
        <x:v>152</x:v>
      </x:c>
      <x:c r="J12" s="55" t="str">
        <x:v>comparative EPS differs from prior filing</x:v>
      </x:c>
    </x:row>
    <x:row r="13" ht="24" hidden="0" customHeight="1">
      <x:c r="C13" s="2" t="str">
        <x:v>fpt_ar_2024</x:v>
      </x:c>
      <x:c r="D13" s="2" t="n">
        <x:v>2024</x:v>
      </x:c>
      <x:c r="E13" s="2" t="n">
        <x:v>2024</x:v>
      </x:c>
      <x:c r="F13" s="45" t="n">
        <x:v>4944</x:v>
      </x:c>
      <x:c r="G13" s="45" t="n">
        <x:v>4944</x:v>
      </x:c>
      <x:c r="H13" s="2" t="str">
        <x:v>current_year</x:v>
      </x:c>
      <x:c r="I13" s="2" t="n">
        <x:v>152</x:v>
      </x:c>
      <x:c r="J13" s="55" t="str">
        <x:v>as presented</x:v>
      </x:c>
    </x:row>
    <x:row r="14" ht="15" hidden="0" customHeight="1">
      <x:c r="C14" s="2"/>
      <x:c r="D14" s="2"/>
      <x:c r="E14" s="2"/>
      <x:c r="F14" s="2"/>
      <x:c r="G14" s="2"/>
      <x:c r="H14" s="2"/>
      <x:c r="I14" s="2"/>
      <x:c r="J14" s="2"/>
    </x:row>
    <x:row r="15" ht="15" hidden="0" customHeight="1">
      <x:c r="C15" s="2"/>
      <x:c r="D15" s="2"/>
      <x:c r="E15" s="2"/>
      <x:c r="F15" s="2"/>
      <x:c r="G15" s="2"/>
      <x:c r="H15" s="2"/>
      <x:c r="I15" s="2"/>
      <x:c r="J15" s="2"/>
    </x:row>
    <x:row r="16" ht="15" hidden="0" customHeight="1">
      <x:c r="C16" s="2"/>
      <x:c r="D16" s="2"/>
      <x:c r="E16" s="2"/>
      <x:c r="F16" s="2"/>
      <x:c r="G16" s="2"/>
      <x:c r="H16" s="2"/>
      <x:c r="I16" s="2"/>
      <x:c r="J16" s="2"/>
    </x:row>
    <x:row r="17" ht="15" hidden="0" customHeight="1">
      <x:c r="C17" s="2"/>
      <x:c r="D17" s="2"/>
      <x:c r="E17" s="2"/>
      <x:c r="F17" s="2"/>
      <x:c r="G17" s="2"/>
      <x:c r="H17" s="2"/>
      <x:c r="I17" s="2"/>
      <x:c r="J17" s="2"/>
    </x:row>
    <x:row r="18" ht="15" hidden="0" customHeight="1">
      <x:c r="C18" s="2"/>
      <x:c r="D18" s="2"/>
      <x:c r="E18" s="2"/>
      <x:c r="F18" s="2"/>
      <x:c r="G18" s="2"/>
      <x:c r="H18" s="2"/>
      <x:c r="I18" s="2"/>
      <x:c r="J18" s="2"/>
    </x:row>
    <x:row r="19" ht="15" hidden="0" customHeight="1">
      <x:c r="C19" s="2"/>
      <x:c r="D19" s="2"/>
      <x:c r="E19" s="2"/>
      <x:c r="F19" s="2"/>
      <x:c r="G19" s="2"/>
      <x:c r="H19" s="2"/>
      <x:c r="I19" s="2"/>
      <x:c r="J19" s="2"/>
    </x:row>
    <x:row r="20" ht="15" hidden="0" customHeight="1">
      <x:c r="C20" s="2"/>
      <x:c r="D20" s="2"/>
      <x:c r="E20" s="2"/>
      <x:c r="F20" s="2"/>
      <x:c r="G20" s="2"/>
      <x:c r="H20" s="2"/>
      <x:c r="I20" s="2"/>
      <x:c r="J20" s="2"/>
    </x:row>
    <x:row r="21"/>
    <x:row r="22"/>
    <x:row r="23"/>
    <x:row r="24"/>
    <x:row r="25"/>
    <x:row r="26"/>
    <x:row r="27"/>
    <x:row r="28"/>
    <x:row r="29"/>
    <x:row r="30"/>
    <x:row r="31"/>
    <x:row r="32"/>
    <x:row r="33"/>
    <x:row r="34"/>
    <x:row r="35"/>
    <x:row r="36"/>
    <x:row r="37"/>
    <x:row r="38"/>
    <x:row r="39"/>
    <x:row r="40"/>
    <x:row r="41"/>
    <x:row r="42"/>
    <x:row r="43"/>
    <x:row r="44"/>
    <x:row r="45"/>
    <x:row r="46"/>
    <x:row r="47"/>
    <x:row r="48"/>
    <x:row r="49"/>
    <x:row r="50"/>
    <x:row r="51"/>
    <x:row r="52"/>
    <x:row r="53"/>
    <x:row r="54"/>
    <x:row r="55"/>
    <x:row r="56"/>
    <x:row r="57"/>
    <x:row r="58"/>
    <x:row r="59"/>
    <x:row r="60"/>
  </x:sheetData>
  <x:pageMargins left="0.7" right="0.7" top="0.75" bottom="0.75" header="0.3" footer="0.3"/>
</x:worksheet>
</file>

<file path=xl/worksheets/sheet12.xml><?xml version="1.0" encoding="utf-8"?>
<x:worksheet xmlns:x="http://schemas.openxmlformats.org/spreadsheetml/2006/main">
  <x:sheetPr>
    <x:tabColor rgb="FFD6B656"/>
  </x:sheetPr>
  <x:sheetViews>
    <x:sheetView showGridLines="0" workbookViewId="0">
      <x:pane ySplit="5" topLeftCell="A6" activePane="bottomLeft" state="frozen"/>
    </x:sheetView>
  </x:sheetViews>
  <x:sheetFormatPr defaultRowHeight="15"/>
  <x:cols>
    <x:col min="1" max="1" width="3" hidden="0" customWidth="1"/>
    <x:col min="2" max="2" width="3" hidden="0" customWidth="1"/>
    <x:col min="3" max="3" width="11" hidden="0" customWidth="1"/>
    <x:col min="4" max="4" width="20" hidden="0" customWidth="1"/>
    <x:col min="5" max="5" width="20" hidden="0" customWidth="1"/>
    <x:col min="6" max="6" width="20" hidden="0" customWidth="1"/>
    <x:col min="7" max="7" width="20" hidden="0" customWidth="1"/>
    <x:col min="8" max="8" width="20" hidden="0" customWidth="1"/>
    <x:col min="9" max="9" width="20" hidden="0" customWidth="1"/>
    <x:col min="10" max="10" width="16" hidden="0" customWidth="1"/>
    <x:col min="11" max="11" width="16" hidden="0" customWidth="1"/>
    <x:col min="12" max="12" width="16" hidden="0" customWidth="1"/>
    <x:col min="13" max="13" width="54" hidden="0" customWidth="1"/>
  </x:cols>
  <x:sheetData>
    <x:row r="2" ht="18" hidden="0" customHeight="1">
      <x:c r="C2" s="3" t="str">
        <x:v>Reported share-count bridge</x:v>
      </x:c>
      <x:c r="D2" s="2"/>
      <x:c r="E2" s="2"/>
      <x:c r="F2" s="2"/>
      <x:c r="G2" s="2"/>
      <x:c r="H2" s="2"/>
      <x:c r="I2" s="2"/>
      <x:c r="J2" s="2"/>
      <x:c r="K2" s="2"/>
      <x:c r="L2" s="2"/>
      <x:c r="M2" s="2"/>
    </x:row>
    <x:row r="3" ht="15" hidden="0" customHeight="1">
      <x:c r="C3" s="4" t="str">
        <x:v>Roll-forward control only. Weighted-average observations have different filing vintages and are not yet one common-basis series.</x:v>
      </x:c>
      <x:c r="D3" s="2"/>
      <x:c r="E3" s="2"/>
      <x:c r="F3" s="2"/>
      <x:c r="G3" s="2"/>
      <x:c r="H3" s="2"/>
      <x:c r="I3" s="2"/>
      <x:c r="J3" s="2"/>
      <x:c r="K3" s="2"/>
      <x:c r="L3" s="2"/>
      <x:c r="M3" s="2"/>
    </x:row>
    <x:row r="4" ht="15" hidden="0" customHeight="1">
      <x:c r="C4" s="5"/>
      <x:c r="D4" s="5"/>
      <x:c r="E4" s="5"/>
      <x:c r="F4" s="5"/>
      <x:c r="G4" s="5"/>
      <x:c r="H4" s="5"/>
      <x:c r="I4" s="5"/>
      <x:c r="J4" s="5"/>
      <x:c r="K4" s="5"/>
      <x:c r="L4" s="5"/>
      <x:c r="M4" s="5"/>
      <x:c r="N4" s="6"/>
      <x:c r="O4" s="6"/>
      <x:c r="P4" s="6"/>
      <x:c r="Q4" s="6"/>
    </x:row>
    <x:row r="5" ht="15" hidden="0" customHeight="1">
      <x:c r="C5" s="21" t="str">
        <x:v>Fiscal year</x:v>
      </x:c>
      <x:c r="D5" s="22" t="str">
        <x:v>Beginning shares</x:v>
      </x:c>
      <x:c r="E5" s="22" t="str">
        <x:v>Employee / other issuance</x:v>
      </x:c>
      <x:c r="F5" s="22" t="str">
        <x:v>Share dividend shares</x:v>
      </x:c>
      <x:c r="G5" s="22" t="str">
        <x:v>Ending shares</x:v>
      </x:c>
      <x:c r="H5" s="22" t="str">
        <x:v>Roll-forward check</x:v>
      </x:c>
      <x:c r="I5" s="22" t="str">
        <x:v>Latest weighted average</x:v>
      </x:c>
      <x:c r="J5" s="22" t="str">
        <x:v>Basis filing</x:v>
      </x:c>
      <x:c r="K5" s="22" t="str">
        <x:v>Source</x:v>
      </x:c>
      <x:c r="L5" s="22" t="str">
        <x:v>Report page</x:v>
      </x:c>
      <x:c r="M5" s="23" t="str">
        <x:v>Note</x:v>
      </x:c>
    </x:row>
    <x:row r="6" ht="32" hidden="0" customHeight="1">
      <x:c r="C6" s="2" t="n">
        <x:v>2020</x:v>
      </x:c>
      <x:c r="D6" s="45" t="n">
        <x:v>678276312</x:v>
      </x:c>
      <x:c r="E6" s="45" t="n">
        <x:v>3391790</x:v>
      </x:c>
      <x:c r="F6" s="45" t="n">
        <x:v>102237008</x:v>
      </x:c>
      <x:c r="G6" s="45" t="n">
        <x:v>783905110</x:v>
      </x:c>
      <x:c r="H6" s="152" t="n">
        <x:f>D6+E6+F6-G6</x:f>
        <x:v>0</x:v>
      </x:c>
      <x:c r="I6" s="45" t="n">
        <x:v>901425458</x:v>
      </x:c>
      <x:c r="J6" s="2" t="str">
        <x:v>FY2021</x:v>
      </x:c>
      <x:c r="K6" s="2" t="str">
        <x:v>fpt_ar_2021</x:v>
      </x:c>
      <x:c r="L6" s="2" t="str">
        <x:v>72-74</x:v>
      </x:c>
      <x:c r="M6" s="55" t="str">
        <x:v>FY2020 weighted average includes the FY2021 15% share-dividend retrospective adjustment; it is not yet on a FY2024 common share basis</x:v>
      </x:c>
    </x:row>
    <x:row r="7" ht="32" hidden="0" customHeight="1">
      <x:c r="C7" s="2" t="n">
        <x:v>2021</x:v>
      </x:c>
      <x:c r="D7" s="45" t="n">
        <x:v>783905110</x:v>
      </x:c>
      <x:c r="E7" s="45" t="n">
        <x:v>5209768</x:v>
      </x:c>
      <x:c r="F7" s="45" t="n">
        <x:v>118354395</x:v>
      </x:c>
      <x:c r="G7" s="45" t="n">
        <x:v>907469273</x:v>
      </x:c>
      <x:c r="H7" s="152" t="n">
        <x:f>D7+E7+F7-G7</x:f>
        <x:v>0</x:v>
      </x:c>
      <x:c r="I7" s="45" t="n">
        <x:v>1088929691</x:v>
      </x:c>
      <x:c r="J7" s="2" t="str">
        <x:v>FY2022</x:v>
      </x:c>
      <x:c r="K7" s="2" t="str">
        <x:v>fpt_ar_2022</x:v>
      </x:c>
      <x:c r="L7" s="2" t="str">
        <x:v>69-73</x:v>
      </x:c>
      <x:c r="M7" s="55" t="str">
        <x:v>FY2021 weighted average is the FY2022 comparative after the FY2022 20% share-dividend adjustment</x:v>
      </x:c>
    </x:row>
    <x:row r="8" ht="32" hidden="0" customHeight="1">
      <x:c r="C8" s="2" t="n">
        <x:v>2022</x:v>
      </x:c>
      <x:c r="D8" s="45" t="n">
        <x:v>907469273</x:v>
      </x:c>
      <x:c r="E8" s="45" t="n">
        <x:v>6726641</x:v>
      </x:c>
      <x:c r="F8" s="45" t="n">
        <x:v>182830658</x:v>
      </x:c>
      <x:c r="G8" s="45" t="n">
        <x:v>1097026572</x:v>
      </x:c>
      <x:c r="H8" s="152" t="n">
        <x:f>D8+E8+F8-G8</x:f>
        <x:v>0</x:v>
      </x:c>
      <x:c r="I8" s="45" t="n">
        <x:v>1260312644</x:v>
      </x:c>
      <x:c r="J8" s="2" t="str">
        <x:v>FY2023</x:v>
      </x:c>
      <x:c r="K8" s="2" t="str">
        <x:v>fpt_ar_2023</x:v>
      </x:c>
      <x:c r="L8" s="2" t="str">
        <x:v>184-188</x:v>
      </x:c>
      <x:c r="M8" s="55" t="str">
        <x:v>FY2022 weighted average is the FY2023 comparative after the FY2023 15% share-dividend adjustment</x:v>
      </x:c>
    </x:row>
    <x:row r="9" ht="32" hidden="0" customHeight="1">
      <x:c r="C9" s="2" t="n">
        <x:v>2023</x:v>
      </x:c>
      <x:c r="D9" s="45" t="n">
        <x:v>1097026572</x:v>
      </x:c>
      <x:c r="E9" s="45" t="n">
        <x:v>7305050</x:v>
      </x:c>
      <x:c r="F9" s="45" t="n">
        <x:v>165637253</x:v>
      </x:c>
      <x:c r="G9" s="45" t="n">
        <x:v>1269968875</x:v>
      </x:c>
      <x:c r="H9" s="152" t="n">
        <x:f>D9+E9+F9-G9</x:f>
        <x:v>0</x:v>
      </x:c>
      <x:c r="I9" s="45" t="n">
        <x:v>1457906309</x:v>
      </x:c>
      <x:c r="J9" s="2" t="str">
        <x:v>FY2024</x:v>
      </x:c>
      <x:c r="K9" s="2" t="str">
        <x:v>fpt_ar_2024</x:v>
      </x:c>
      <x:c r="L9" s="2" t="str">
        <x:v>188-191</x:v>
      </x:c>
      <x:c r="M9" s="55" t="str">
        <x:v>FY2023 weighted average is the FY2024 comparative after the FY2024 15% share-dividend adjustment</x:v>
      </x:c>
    </x:row>
    <x:row r="10" ht="32" hidden="0" customHeight="1">
      <x:c r="C10" s="2" t="n">
        <x:v>2024</x:v>
      </x:c>
      <x:c r="D10" s="45" t="n">
        <x:v>1269968875</x:v>
      </x:c>
      <x:c r="E10" s="45" t="n">
        <x:v>10621117</x:v>
      </x:c>
      <x:c r="F10" s="45" t="n">
        <x:v>190479191</x:v>
      </x:c>
      <x:c r="G10" s="45" t="n">
        <x:v>1471069183</x:v>
      </x:c>
      <x:c r="H10" s="152" t="n">
        <x:f>D10+E10+F10-G10</x:f>
        <x:v>0</x:v>
      </x:c>
      <x:c r="I10" s="45" t="n">
        <x:v>1462653544</x:v>
      </x:c>
      <x:c r="J10" s="2" t="str">
        <x:v>FY2024</x:v>
      </x:c>
      <x:c r="K10" s="2" t="str">
        <x:v>fpt_ar_2024</x:v>
      </x:c>
      <x:c r="L10" s="2" t="str">
        <x:v>188-191</x:v>
      </x:c>
      <x:c r="M10" s="55" t="str">
        <x:v>Current-year FY2024 weighted average as presented</x:v>
      </x:c>
    </x:row>
    <x:row r="11" ht="15" hidden="0" customHeight="1">
      <x:c r="C11" s="2"/>
      <x:c r="D11" s="2"/>
      <x:c r="E11" s="2"/>
      <x:c r="F11" s="2"/>
      <x:c r="G11" s="2"/>
      <x:c r="H11" s="2"/>
      <x:c r="I11" s="2"/>
      <x:c r="J11" s="2"/>
      <x:c r="K11" s="2"/>
      <x:c r="L11" s="2"/>
      <x:c r="M11" s="2"/>
    </x:row>
    <x:row r="12" ht="15" hidden="0" customHeight="1">
      <x:c r="C12" s="2"/>
      <x:c r="D12" s="2"/>
      <x:c r="E12" s="2"/>
      <x:c r="F12" s="2"/>
      <x:c r="G12" s="2"/>
      <x:c r="H12" s="2"/>
      <x:c r="I12" s="2"/>
      <x:c r="J12" s="2"/>
      <x:c r="K12" s="2"/>
      <x:c r="L12" s="2"/>
      <x:c r="M12" s="2"/>
    </x:row>
    <x:row r="13" ht="15" hidden="0" customHeight="1">
      <x:c r="C13" s="2"/>
      <x:c r="D13" s="2"/>
      <x:c r="E13" s="2"/>
      <x:c r="F13" s="2"/>
      <x:c r="G13" s="2"/>
      <x:c r="H13" s="2"/>
      <x:c r="I13" s="2"/>
      <x:c r="J13" s="2"/>
      <x:c r="K13" s="2"/>
      <x:c r="L13" s="2"/>
      <x:c r="M13" s="2"/>
    </x:row>
    <x:row r="14" ht="15" hidden="0" customHeight="1">
      <x:c r="C14" s="2"/>
      <x:c r="D14" s="2"/>
      <x:c r="E14" s="2"/>
      <x:c r="F14" s="2"/>
      <x:c r="G14" s="2"/>
      <x:c r="H14" s="2"/>
      <x:c r="I14" s="2"/>
      <x:c r="J14" s="2"/>
      <x:c r="K14" s="2"/>
      <x:c r="L14" s="2"/>
      <x:c r="M14" s="2"/>
    </x:row>
    <x:row r="15" ht="15" hidden="0" customHeight="1">
      <x:c r="C15" s="2"/>
      <x:c r="D15" s="2"/>
      <x:c r="E15" s="2"/>
      <x:c r="F15" s="2"/>
      <x:c r="G15" s="2"/>
      <x:c r="H15" s="2"/>
      <x:c r="I15" s="2"/>
      <x:c r="J15" s="2"/>
      <x:c r="K15" s="2"/>
      <x:c r="L15" s="2"/>
      <x:c r="M15" s="2"/>
    </x:row>
    <x:row r="16" ht="15" hidden="0" customHeight="1">
      <x:c r="C16" s="2"/>
      <x:c r="D16" s="2"/>
      <x:c r="E16" s="2"/>
      <x:c r="F16" s="2"/>
      <x:c r="G16" s="2"/>
      <x:c r="H16" s="2"/>
      <x:c r="I16" s="2"/>
      <x:c r="J16" s="2"/>
      <x:c r="K16" s="2"/>
      <x:c r="L16" s="2"/>
      <x:c r="M16" s="2"/>
    </x:row>
    <x:row r="17" ht="15" hidden="0" customHeight="1">
      <x:c r="C17" s="2"/>
      <x:c r="D17" s="2"/>
      <x:c r="E17" s="2"/>
      <x:c r="F17" s="2"/>
      <x:c r="G17" s="2"/>
      <x:c r="H17" s="2"/>
      <x:c r="I17" s="2"/>
      <x:c r="J17" s="2"/>
      <x:c r="K17" s="2"/>
      <x:c r="L17" s="2"/>
      <x:c r="M17" s="2"/>
    </x:row>
    <x:row r="18" ht="15" hidden="0" customHeight="1">
      <x:c r="C18" s="2"/>
      <x:c r="D18" s="2"/>
      <x:c r="E18" s="2"/>
      <x:c r="F18" s="2"/>
      <x:c r="G18" s="2"/>
      <x:c r="H18" s="2"/>
      <x:c r="I18" s="2"/>
      <x:c r="J18" s="2"/>
      <x:c r="K18" s="2"/>
      <x:c r="L18" s="2"/>
      <x:c r="M18" s="2"/>
    </x:row>
    <x:row r="19" ht="15" hidden="0" customHeight="1">
      <x:c r="C19" s="2"/>
      <x:c r="D19" s="2"/>
      <x:c r="E19" s="2"/>
      <x:c r="F19" s="2"/>
      <x:c r="G19" s="2"/>
      <x:c r="H19" s="2"/>
      <x:c r="I19" s="2"/>
      <x:c r="J19" s="2"/>
      <x:c r="K19" s="2"/>
      <x:c r="L19" s="2"/>
      <x:c r="M19" s="2"/>
    </x:row>
    <x:row r="20" ht="15" hidden="0" customHeight="1">
      <x:c r="C20" s="2"/>
      <x:c r="D20" s="2"/>
      <x:c r="E20" s="2"/>
      <x:c r="F20" s="2"/>
      <x:c r="G20" s="2"/>
      <x:c r="H20" s="2"/>
      <x:c r="I20" s="2"/>
      <x:c r="J20" s="2"/>
      <x:c r="K20" s="2"/>
      <x:c r="L20" s="2"/>
      <x:c r="M20" s="2"/>
    </x:row>
    <x:row r="21"/>
    <x:row r="22"/>
    <x:row r="23"/>
    <x:row r="24"/>
    <x:row r="25"/>
    <x:row r="26"/>
    <x:row r="27"/>
    <x:row r="28"/>
    <x:row r="29"/>
    <x:row r="30"/>
    <x:row r="31"/>
    <x:row r="32"/>
    <x:row r="33"/>
    <x:row r="34"/>
    <x:row r="35"/>
    <x:row r="36"/>
    <x:row r="37"/>
    <x:row r="38"/>
    <x:row r="39"/>
    <x:row r="40"/>
    <x:row r="41"/>
    <x:row r="42"/>
    <x:row r="43"/>
    <x:row r="44"/>
    <x:row r="45"/>
    <x:row r="46"/>
    <x:row r="47"/>
    <x:row r="48"/>
    <x:row r="49"/>
    <x:row r="50"/>
    <x:row r="51"/>
    <x:row r="52"/>
    <x:row r="53"/>
    <x:row r="54"/>
    <x:row r="55"/>
    <x:row r="56"/>
    <x:row r="57"/>
    <x:row r="58"/>
    <x:row r="59"/>
    <x:row r="60"/>
  </x:sheetData>
  <x:conditionalFormatting sqref="H6:H10">
    <x:cfRule type="expression" dxfId="2" priority="1">
      <x:formula>ABS(H6)&gt;0</x:formula>
    </x:cfRule>
  </x:conditionalFormatting>
  <x:pageMargins left="0.7" right="0.7" top="0.75" bottom="0.75" header="0.3" footer="0.3"/>
</x:worksheet>
</file>

<file path=xl/worksheets/sheet13.xml><?xml version="1.0" encoding="utf-8"?>
<x:worksheet xmlns:x="http://schemas.openxmlformats.org/spreadsheetml/2006/main">
  <x:sheetPr>
    <x:tabColor rgb="FF808080"/>
  </x:sheetPr>
  <x:sheetViews>
    <x:sheetView showGridLines="0" workbookViewId="0">
      <x:pane xSplit="4" ySplit="5" topLeftCell="E6" activePane="bottomRight" state="frozen"/>
    </x:sheetView>
  </x:sheetViews>
  <x:sheetFormatPr defaultRowHeight="15"/>
  <x:cols>
    <x:col min="1" max="1" width="3" hidden="0" customWidth="1"/>
    <x:col min="2" max="2" width="3" hidden="0" customWidth="1"/>
    <x:col min="3" max="3" width="42" hidden="0" customWidth="1"/>
    <x:col min="4" max="4" width="12" hidden="0" customWidth="1"/>
    <x:col min="5" max="5" width="12" hidden="0" customWidth="1"/>
    <x:col min="6" max="6" width="12" hidden="0" customWidth="1"/>
    <x:col min="7" max="7" width="12" hidden="0" customWidth="1"/>
    <x:col min="8" max="8" width="12" hidden="0" customWidth="1"/>
    <x:col min="9" max="9" width="12" hidden="0" customWidth="1"/>
    <x:col min="10" max="10" width="12" hidden="0" customWidth="1"/>
    <x:col min="11" max="11" width="12" hidden="0" customWidth="1"/>
    <x:col min="12" max="12" width="12" hidden="0" customWidth="1"/>
    <x:col min="13" max="13" width="12" hidden="0" customWidth="1"/>
    <x:col min="14" max="14" width="12" hidden="0" customWidth="1"/>
    <x:col min="15" max="15" width="12" hidden="0" customWidth="1"/>
  </x:cols>
  <x:sheetData>
    <x:row r="2" ht="18" hidden="0" customHeight="1">
      <x:c r="C2" s="3" t="str">
        <x:v>Model checks</x:v>
      </x:c>
      <x:c r="D2" s="2"/>
      <x:c r="E2" s="2"/>
      <x:c r="F2" s="2"/>
      <x:c r="G2" s="2"/>
      <x:c r="H2" s="2"/>
      <x:c r="I2" s="2"/>
      <x:c r="J2" s="2"/>
      <x:c r="K2" s="2"/>
      <x:c r="L2" s="2"/>
      <x:c r="M2" s="2"/>
      <x:c r="N2" s="2"/>
      <x:c r="O2" s="2"/>
    </x:row>
    <x:row r="3" ht="15" hidden="0" customHeight="1">
      <x:c r="C3" s="4" t="str">
        <x:v>Terminal checks only. No forecast or output formula depends on this sheet.</x:v>
      </x:c>
      <x:c r="D3" s="2"/>
      <x:c r="E3" s="2"/>
      <x:c r="F3" s="2"/>
      <x:c r="G3" s="2"/>
      <x:c r="H3" s="2"/>
      <x:c r="I3" s="2"/>
      <x:c r="J3" s="2"/>
      <x:c r="K3" s="2"/>
      <x:c r="L3" s="2"/>
      <x:c r="M3" s="2"/>
      <x:c r="N3" s="2"/>
      <x:c r="O3" s="2"/>
    </x:row>
    <x:row r="4" ht="15" hidden="0" customHeight="1">
      <x:c r="C4" s="5"/>
      <x:c r="D4" s="5"/>
      <x:c r="E4" s="5"/>
      <x:c r="F4" s="5"/>
      <x:c r="G4" s="5"/>
      <x:c r="H4" s="5"/>
      <x:c r="I4" s="5"/>
      <x:c r="J4" s="5"/>
      <x:c r="K4" s="5"/>
      <x:c r="L4" s="5"/>
      <x:c r="M4" s="5"/>
      <x:c r="N4" s="5"/>
      <x:c r="O4" s="5"/>
      <x:c r="P4" s="6"/>
      <x:c r="Q4" s="6"/>
    </x:row>
    <x:row r="5" ht="24" hidden="0" customHeight="1">
      <x:c r="C5" s="21" t="str">
        <x:v>Check</x:v>
      </x:c>
      <x:c r="D5" s="22" t="str">
        <x:v>Tolerance</x:v>
      </x:c>
      <x:c r="E5" s="22" t="str">
        <x:v>2020</x:v>
      </x:c>
      <x:c r="F5" s="22" t="str">
        <x:v>2021</x:v>
      </x:c>
      <x:c r="G5" s="22" t="str">
        <x:v>2022</x:v>
      </x:c>
      <x:c r="H5" s="22" t="str">
        <x:v>2023</x:v>
      </x:c>
      <x:c r="I5" s="22" t="str">
        <x:v>2024</x:v>
      </x:c>
      <x:c r="J5" s="22" t="str">
        <x:v>2025E</x:v>
      </x:c>
      <x:c r="K5" s="22" t="str">
        <x:v>2026E</x:v>
      </x:c>
      <x:c r="L5" s="22" t="str">
        <x:v>2027E</x:v>
      </x:c>
      <x:c r="M5" s="22" t="str">
        <x:v>2028E</x:v>
      </x:c>
      <x:c r="N5" s="22" t="str">
        <x:v>2029E</x:v>
      </x:c>
      <x:c r="O5" s="23" t="str">
        <x:v>2030E</x:v>
      </x:c>
    </x:row>
    <x:row r="6" ht="15" hidden="0" customHeight="1">
      <x:c r="C6" s="2" t="str">
        <x:v>Balance sheet difference</x:v>
      </x:c>
      <x:c r="D6" s="2" t="n">
        <x:v>0.01</x:v>
      </x:c>
      <x:c r="E6" s="153" t="n">
        <x:f>'Annual Actuals'!E30</x:f>
        <x:v>0</x:v>
      </x:c>
      <x:c r="F6" s="153" t="n">
        <x:f>'Annual Actuals'!F30</x:f>
        <x:v>0</x:v>
      </x:c>
      <x:c r="G6" s="153" t="n">
        <x:f>'Annual Actuals'!G30</x:f>
        <x:v>0</x:v>
      </x:c>
      <x:c r="H6" s="153" t="n">
        <x:f>'Annual Actuals'!H30</x:f>
        <x:v>0</x:v>
      </x:c>
      <x:c r="I6" s="153" t="n">
        <x:f>'Annual Actuals'!I30</x:f>
        <x:v>0</x:v>
      </x:c>
      <x:c r="J6" s="153"/>
      <x:c r="K6" s="153"/>
      <x:c r="L6" s="153"/>
      <x:c r="M6" s="153"/>
      <x:c r="N6" s="153"/>
      <x:c r="O6" s="153"/>
    </x:row>
    <x:row r="7" ht="15" hidden="0" customHeight="1">
      <x:c r="C7" s="2" t="str">
        <x:v>PAT attribution difference</x:v>
      </x:c>
      <x:c r="D7" s="2" t="n">
        <x:v>0.01</x:v>
      </x:c>
      <x:c r="E7" s="153" t="n">
        <x:f>'Annual Actuals'!E31</x:f>
        <x:v>0</x:v>
      </x:c>
      <x:c r="F7" s="153" t="n">
        <x:f>'Annual Actuals'!F31</x:f>
        <x:v>0</x:v>
      </x:c>
      <x:c r="G7" s="153" t="n">
        <x:f>'Annual Actuals'!G31</x:f>
        <x:v>0</x:v>
      </x:c>
      <x:c r="H7" s="153" t="n">
        <x:f>'Annual Actuals'!H31</x:f>
        <x:v>0</x:v>
      </x:c>
      <x:c r="I7" s="153" t="n">
        <x:f>'Annual Actuals'!I31</x:f>
        <x:v>0</x:v>
      </x:c>
      <x:c r="J7" s="153"/>
      <x:c r="K7" s="153"/>
      <x:c r="L7" s="153"/>
      <x:c r="M7" s="153"/>
      <x:c r="N7" s="153"/>
      <x:c r="O7" s="153"/>
    </x:row>
    <x:row r="8" ht="15" hidden="0" customHeight="1">
      <x:c r="C8" s="2" t="str">
        <x:v>Segment revenue less consolidated revenue</x:v>
      </x:c>
      <x:c r="D8" s="2" t="n">
        <x:v>0.01</x:v>
      </x:c>
      <x:c r="E8" s="153" t="n">
        <x:f>ROUND('Segment Build'!E24-'Annual Actuals'!E6,2)</x:f>
        <x:v>0</x:v>
      </x:c>
      <x:c r="F8" s="153" t="n">
        <x:f>ROUND('Segment Build'!F24-'Annual Actuals'!F6,2)</x:f>
        <x:v>0</x:v>
      </x:c>
      <x:c r="G8" s="153" t="n">
        <x:f>ROUND('Segment Build'!G24-'Annual Actuals'!G6,2)</x:f>
        <x:v>0</x:v>
      </x:c>
      <x:c r="H8" s="153" t="n">
        <x:f>ROUND('Segment Build'!H24-'Annual Actuals'!H6,2)</x:f>
        <x:v>0</x:v>
      </x:c>
      <x:c r="I8" s="153" t="n">
        <x:f>ROUND('Segment Build'!I24-'Annual Actuals'!I6,2)</x:f>
        <x:v>0</x:v>
      </x:c>
      <x:c r="J8" s="153"/>
      <x:c r="K8" s="153"/>
      <x:c r="L8" s="153"/>
      <x:c r="M8" s="153"/>
      <x:c r="N8" s="153"/>
      <x:c r="O8" s="153"/>
    </x:row>
    <x:row r="9" ht="15" hidden="0" customHeight="1">
      <x:c r="C9" s="2" t="str">
        <x:v>Segment PBT less consolidated PBT</x:v>
      </x:c>
      <x:c r="D9" s="2" t="n">
        <x:v>0.01</x:v>
      </x:c>
      <x:c r="E9" s="153" t="n">
        <x:f>ROUND('Segment Build'!E27-'Annual Actuals'!E9,2)</x:f>
        <x:v>0</x:v>
      </x:c>
      <x:c r="F9" s="153" t="n">
        <x:f>ROUND('Segment Build'!F27-'Annual Actuals'!F9,2)</x:f>
        <x:v>0</x:v>
      </x:c>
      <x:c r="G9" s="153" t="n">
        <x:f>ROUND('Segment Build'!G27-'Annual Actuals'!G9,2)</x:f>
        <x:v>0</x:v>
      </x:c>
      <x:c r="H9" s="153" t="n">
        <x:f>ROUND('Segment Build'!H27-'Annual Actuals'!H9,2)</x:f>
        <x:v>0</x:v>
      </x:c>
      <x:c r="I9" s="153" t="n">
        <x:f>ROUND('Segment Build'!I27-'Annual Actuals'!I9,2)</x:f>
        <x:v>0</x:v>
      </x:c>
      <x:c r="J9" s="153"/>
      <x:c r="K9" s="153"/>
      <x:c r="L9" s="153"/>
      <x:c r="M9" s="153"/>
      <x:c r="N9" s="153"/>
      <x:c r="O9" s="153"/>
    </x:row>
    <x:row r="10" ht="15" hidden="0" customHeight="1">
      <x:c r="C10" s="2" t="str">
        <x:v>Share roll-forward difference</x:v>
      </x:c>
      <x:c r="D10" s="2" t="n">
        <x:v>0</x:v>
      </x:c>
      <x:c r="E10" s="153" t="n">
        <x:f>'Share Bridge'!H6</x:f>
        <x:v>0</x:v>
      </x:c>
      <x:c r="F10" s="153" t="n">
        <x:f>'Share Bridge'!H7</x:f>
        <x:v>0</x:v>
      </x:c>
      <x:c r="G10" s="153" t="n">
        <x:f>'Share Bridge'!H8</x:f>
        <x:v>0</x:v>
      </x:c>
      <x:c r="H10" s="153" t="n">
        <x:f>'Share Bridge'!H9</x:f>
        <x:v>0</x:v>
      </x:c>
      <x:c r="I10" s="153" t="n">
        <x:f>'Share Bridge'!H10</x:f>
        <x:v>0</x:v>
      </x:c>
      <x:c r="J10" s="153"/>
      <x:c r="K10" s="153"/>
      <x:c r="L10" s="153"/>
      <x:c r="M10" s="153"/>
      <x:c r="N10" s="153"/>
      <x:c r="O10" s="153"/>
    </x:row>
    <x:row r="11" ht="15" hidden="0" customHeight="1">
      <x:c r="C11" s="2" t="str">
        <x:v>Revenue build less FCFF build</x:v>
      </x:c>
      <x:c r="D11" s="2" t="n">
        <x:v>0.01</x:v>
      </x:c>
      <x:c r="E11" s="153" t="n">
        <x:f>ROUND('Segment Build'!E24-'FCFF Build'!E6,2)</x:f>
        <x:v>0</x:v>
      </x:c>
      <x:c r="F11" s="153" t="n">
        <x:f>ROUND('Segment Build'!F24-'FCFF Build'!F6,2)</x:f>
        <x:v>0</x:v>
      </x:c>
      <x:c r="G11" s="153" t="n">
        <x:f>ROUND('Segment Build'!G24-'FCFF Build'!G6,2)</x:f>
        <x:v>0</x:v>
      </x:c>
      <x:c r="H11" s="153" t="n">
        <x:f>ROUND('Segment Build'!H24-'FCFF Build'!H6,2)</x:f>
        <x:v>0</x:v>
      </x:c>
      <x:c r="I11" s="153" t="n">
        <x:f>ROUND('Segment Build'!I24-'FCFF Build'!I6,2)</x:f>
        <x:v>0</x:v>
      </x:c>
      <x:c r="J11" s="153" t="n">
        <x:f>ROUND('Segment Build'!J24-'FCFF Build'!J6,2)</x:f>
        <x:v>0</x:v>
      </x:c>
      <x:c r="K11" s="153" t="n">
        <x:f>ROUND('Segment Build'!K24-'FCFF Build'!K6,2)</x:f>
        <x:v>0</x:v>
      </x:c>
      <x:c r="L11" s="153" t="n">
        <x:f>ROUND('Segment Build'!L24-'FCFF Build'!L6,2)</x:f>
        <x:v>0</x:v>
      </x:c>
      <x:c r="M11" s="153" t="n">
        <x:f>ROUND('Segment Build'!M24-'FCFF Build'!M6,2)</x:f>
        <x:v>0</x:v>
      </x:c>
      <x:c r="N11" s="153" t="n">
        <x:f>ROUND('Segment Build'!N24-'FCFF Build'!N6,2)</x:f>
        <x:v>0</x:v>
      </x:c>
      <x:c r="O11" s="153" t="n">
        <x:f>ROUND('Segment Build'!O24-'FCFF Build'!O6,2)</x:f>
        <x:v>0</x:v>
      </x:c>
    </x:row>
    <x:row r="12" ht="15" hidden="0" customHeight="1">
      <x:c r="C12" s="2" t="str">
        <x:v>Summary revenue less FCFF build</x:v>
      </x:c>
      <x:c r="D12" s="2" t="n">
        <x:v>0.01</x:v>
      </x:c>
      <x:c r="E12" s="153" t="n">
        <x:f>ROUND('Summary'!D6-'FCFF Build'!E6,2)</x:f>
        <x:v>0</x:v>
      </x:c>
      <x:c r="F12" s="153" t="n">
        <x:f>ROUND('Summary'!E6-'FCFF Build'!F6,2)</x:f>
        <x:v>0</x:v>
      </x:c>
      <x:c r="G12" s="153" t="n">
        <x:f>ROUND('Summary'!F6-'FCFF Build'!G6,2)</x:f>
        <x:v>0</x:v>
      </x:c>
      <x:c r="H12" s="153" t="n">
        <x:f>ROUND('Summary'!G6-'FCFF Build'!H6,2)</x:f>
        <x:v>0</x:v>
      </x:c>
      <x:c r="I12" s="153" t="n">
        <x:f>ROUND('Summary'!H6-'FCFF Build'!I6,2)</x:f>
        <x:v>0</x:v>
      </x:c>
      <x:c r="J12" s="153" t="n">
        <x:f>ROUND('Summary'!I6-'FCFF Build'!J6,2)</x:f>
        <x:v>0</x:v>
      </x:c>
      <x:c r="K12" s="153" t="n">
        <x:f>ROUND('Summary'!J6-'FCFF Build'!K6,2)</x:f>
        <x:v>0</x:v>
      </x:c>
      <x:c r="L12" s="153" t="n">
        <x:f>ROUND('Summary'!K6-'FCFF Build'!L6,2)</x:f>
        <x:v>0</x:v>
      </x:c>
      <x:c r="M12" s="153" t="n">
        <x:f>ROUND('Summary'!L6-'FCFF Build'!M6,2)</x:f>
        <x:v>0</x:v>
      </x:c>
      <x:c r="N12" s="153" t="n">
        <x:f>ROUND('Summary'!M6-'FCFF Build'!N6,2)</x:f>
        <x:v>0</x:v>
      </x:c>
      <x:c r="O12" s="153" t="n">
        <x:f>ROUND('Summary'!N6-'FCFF Build'!O6,2)</x:f>
        <x:v>0</x:v>
      </x:c>
    </x:row>
    <x:row r="13" ht="15" hidden="0" customHeight="1">
      <x:c r="C13" s="2" t="str">
        <x:v>Q3 balance-sheet difference</x:v>
      </x:c>
      <x:c r="D13" s="2" t="n">
        <x:v>0.01</x:v>
      </x:c>
      <x:c r="E13" s="153" t="n">
        <x:f>'Q3 Balance'!E18</x:f>
        <x:v>0</x:v>
      </x:c>
      <x:c r="F13" s="153"/>
      <x:c r="G13" s="153"/>
      <x:c r="H13" s="153"/>
      <x:c r="I13" s="153"/>
      <x:c r="J13" s="153"/>
      <x:c r="K13" s="153"/>
      <x:c r="L13" s="153"/>
      <x:c r="M13" s="153"/>
      <x:c r="N13" s="153"/>
      <x:c r="O13" s="153"/>
    </x:row>
    <x:row r="14" ht="15" hidden="0" customHeight="1">
      <x:c r="C14" s="2" t="str">
        <x:v>WACC capital weights less 100%</x:v>
      </x:c>
      <x:c r="D14" s="2" t="n">
        <x:v>0.0001</x:v>
      </x:c>
      <x:c r="E14" s="153" t="n">
        <x:f>'Valuation'!E15+'Valuation'!E16-1</x:f>
        <x:v>0</x:v>
      </x:c>
      <x:c r="F14" s="153"/>
      <x:c r="G14" s="153"/>
      <x:c r="H14" s="153"/>
      <x:c r="I14" s="153"/>
      <x:c r="J14" s="153"/>
      <x:c r="K14" s="153"/>
      <x:c r="L14" s="153"/>
      <x:c r="M14" s="153"/>
      <x:c r="N14" s="153"/>
      <x:c r="O14" s="153"/>
    </x:row>
    <x:row r="15" ht="15" hidden="0" customHeight="1">
      <x:c r="C15" s="2" t="str">
        <x:v>DCF enterprise-to-equity bridge</x:v>
      </x:c>
      <x:c r="D15" s="2" t="n">
        <x:v>0.01</x:v>
      </x:c>
      <x:c r="E15" s="153" t="n">
        <x:f>'Valuation'!E44-SUM('Valuation'!E37:E43)</x:f>
        <x:v>0</x:v>
      </x:c>
      <x:c r="F15" s="153"/>
      <x:c r="G15" s="153"/>
      <x:c r="H15" s="153"/>
      <x:c r="I15" s="153"/>
      <x:c r="J15" s="153"/>
      <x:c r="K15" s="153"/>
      <x:c r="L15" s="153"/>
      <x:c r="M15" s="153"/>
      <x:c r="N15" s="153"/>
      <x:c r="O15" s="153"/>
    </x:row>
    <x:row r="16" ht="15" hidden="0" customHeight="1">
      <x:c r="C16" s="2" t="str">
        <x:v>Valuation-method weights less 100%</x:v>
      </x:c>
      <x:c r="D16" s="2" t="n">
        <x:v>0.0001</x:v>
      </x:c>
      <x:c r="E16" s="153" t="n">
        <x:f>'Assumptions'!E76+'Assumptions'!E77-1</x:f>
        <x:v>0</x:v>
      </x:c>
      <x:c r="F16" s="153"/>
      <x:c r="G16" s="153"/>
      <x:c r="H16" s="153"/>
      <x:c r="I16" s="153"/>
      <x:c r="J16" s="153"/>
      <x:c r="K16" s="153"/>
      <x:c r="L16" s="153"/>
      <x:c r="M16" s="153"/>
      <x:c r="N16" s="153"/>
      <x:c r="O16" s="153"/>
    </x:row>
    <x:row r="17" ht="15" hidden="0" customHeight="1">
      <x:c r="C17" s="2" t="str">
        <x:v>Comparable value formula difference</x:v>
      </x:c>
      <x:c r="D17" s="2" t="n">
        <x:v>0.01</x:v>
      </x:c>
      <x:c r="E17" s="153" t="n">
        <x:f>'Comparable Valuation'!E8-'Comparable Valuation'!E25*'Comparable Valuation'!E12</x:f>
        <x:v>0</x:v>
      </x:c>
      <x:c r="F17" s="153"/>
      <x:c r="G17" s="153"/>
      <x:c r="H17" s="153"/>
      <x:c r="I17" s="153"/>
      <x:c r="J17" s="153"/>
      <x:c r="K17" s="153"/>
      <x:c r="L17" s="153"/>
      <x:c r="M17" s="153"/>
      <x:c r="N17" s="153"/>
      <x:c r="O17" s="153"/>
    </x:row>
    <x:row r="18" ht="15" hidden="0" customHeight="1">
      <x:c r="C18" s="2" t="str">
        <x:v>Summary blended value difference</x:v>
      </x:c>
      <x:c r="D18" s="2" t="n">
        <x:v>0.01</x:v>
      </x:c>
      <x:c r="E18" s="153" t="n">
        <x:f>'Summary'!H24-'Comparable Valuation'!E9</x:f>
        <x:v>0</x:v>
      </x:c>
      <x:c r="F18" s="153"/>
      <x:c r="G18" s="153"/>
      <x:c r="H18" s="153"/>
      <x:c r="I18" s="153"/>
      <x:c r="J18" s="153"/>
      <x:c r="K18" s="153"/>
      <x:c r="L18" s="153"/>
      <x:c r="M18" s="153"/>
      <x:c r="N18" s="153"/>
      <x:c r="O18" s="153"/>
    </x:row>
    <x:row r="19" ht="15" hidden="0" customHeight="1">
      <x:c r="C19" s="2" t="str">
        <x:v>Historical-price cutoff rebase difference</x:v>
      </x:c>
      <x:c r="D19" s="2" t="n">
        <x:v>0.5</x:v>
      </x:c>
      <x:c r="E19" s="153" t="n">
        <x:f>'Historical Valuation'!E26</x:f>
        <x:v>0</x:v>
      </x:c>
      <x:c r="F19" s="153"/>
      <x:c r="G19" s="153"/>
      <x:c r="H19" s="153"/>
      <x:c r="I19" s="153"/>
      <x:c r="J19" s="153"/>
      <x:c r="K19" s="153"/>
      <x:c r="L19" s="153"/>
      <x:c r="M19" s="153"/>
      <x:c r="N19" s="153"/>
      <x:c r="O19" s="153"/>
    </x:row>
    <x:row r="20" ht="15" hidden="0" customHeight="1">
      <x:c r="C20" s="2" t="str">
        <x:v>Current implied P/E formula difference</x:v>
      </x:c>
      <x:c r="D20" s="2" t="n">
        <x:v>0.0001</x:v>
      </x:c>
      <x:c r="E20" s="153" t="n">
        <x:f>'Historical Valuation'!E8-'Historical Valuation'!E6/'Historical Valuation'!E7</x:f>
        <x:v>0</x:v>
      </x:c>
      <x:c r="F20" s="153"/>
      <x:c r="G20" s="153"/>
      <x:c r="H20" s="153"/>
      <x:c r="I20" s="153"/>
      <x:c r="J20" s="153"/>
      <x:c r="K20" s="153"/>
      <x:c r="L20" s="153"/>
      <x:c r="M20" s="153"/>
      <x:c r="N20" s="153"/>
      <x:c r="O20" s="153"/>
    </x:row>
    <x:row r="21" ht="15" hidden="0" customHeight="1">
      <x:c r="C21" s="2"/>
      <x:c r="D21" s="2"/>
      <x:c r="E21" s="2"/>
      <x:c r="F21" s="2"/>
      <x:c r="G21" s="2"/>
      <x:c r="H21" s="2"/>
      <x:c r="I21" s="2"/>
      <x:c r="J21" s="2"/>
      <x:c r="K21" s="2"/>
      <x:c r="L21" s="2"/>
      <x:c r="M21" s="2"/>
      <x:c r="N21" s="2"/>
      <x:c r="O21" s="2"/>
    </x:row>
    <x:row r="22" ht="15" hidden="0" customHeight="1">
      <x:c r="C22" s="2"/>
      <x:c r="D22" s="2"/>
      <x:c r="E22" s="2"/>
      <x:c r="F22" s="2"/>
      <x:c r="G22" s="2"/>
      <x:c r="H22" s="2"/>
      <x:c r="I22" s="2"/>
      <x:c r="J22" s="2"/>
      <x:c r="K22" s="2"/>
      <x:c r="L22" s="2"/>
      <x:c r="M22" s="2"/>
      <x:c r="N22" s="2"/>
      <x:c r="O22" s="2"/>
    </x:row>
    <x:row r="23" ht="15" hidden="0" customHeight="1">
      <x:c r="C23" s="2"/>
      <x:c r="D23" s="2"/>
      <x:c r="E23" s="2"/>
      <x:c r="F23" s="2"/>
      <x:c r="G23" s="2"/>
      <x:c r="H23" s="2"/>
      <x:c r="I23" s="2"/>
      <x:c r="J23" s="2"/>
      <x:c r="K23" s="2"/>
      <x:c r="L23" s="2"/>
      <x:c r="M23" s="2"/>
      <x:c r="N23" s="2"/>
      <x:c r="O23" s="2"/>
    </x:row>
    <x:row r="24" ht="15" hidden="0" customHeight="1">
      <x:c r="C24" s="2"/>
      <x:c r="D24" s="2"/>
      <x:c r="E24" s="2"/>
      <x:c r="F24" s="2"/>
      <x:c r="G24" s="2"/>
      <x:c r="H24" s="2"/>
      <x:c r="I24" s="2"/>
      <x:c r="J24" s="2"/>
      <x:c r="K24" s="2"/>
      <x:c r="L24" s="2"/>
      <x:c r="M24" s="2"/>
      <x:c r="N24" s="2"/>
      <x:c r="O24" s="2"/>
    </x:row>
    <x:row r="25" ht="15" hidden="0" customHeight="1">
      <x:c r="C25" s="2"/>
      <x:c r="D25" s="2"/>
      <x:c r="E25" s="2"/>
      <x:c r="F25" s="2"/>
      <x:c r="G25" s="2"/>
      <x:c r="H25" s="2"/>
      <x:c r="I25" s="2"/>
      <x:c r="J25" s="2"/>
      <x:c r="K25" s="2"/>
      <x:c r="L25" s="2"/>
      <x:c r="M25" s="2"/>
      <x:c r="N25" s="2"/>
      <x:c r="O25" s="2"/>
    </x:row>
    <x:row r="26" ht="15" hidden="0" customHeight="1">
      <x:c r="C26" s="2"/>
      <x:c r="D26" s="2"/>
      <x:c r="E26" s="2"/>
      <x:c r="F26" s="2"/>
      <x:c r="G26" s="2"/>
      <x:c r="H26" s="2"/>
      <x:c r="I26" s="2"/>
      <x:c r="J26" s="2"/>
      <x:c r="K26" s="2"/>
      <x:c r="L26" s="2"/>
      <x:c r="M26" s="2"/>
      <x:c r="N26" s="2"/>
      <x:c r="O26" s="2"/>
    </x:row>
    <x:row r="27" ht="15" hidden="0" customHeight="1">
      <x:c r="C27" s="2"/>
      <x:c r="D27" s="2"/>
      <x:c r="E27" s="2"/>
      <x:c r="F27" s="2"/>
      <x:c r="G27" s="2"/>
      <x:c r="H27" s="2"/>
      <x:c r="I27" s="2"/>
      <x:c r="J27" s="2"/>
      <x:c r="K27" s="2"/>
      <x:c r="L27" s="2"/>
      <x:c r="M27" s="2"/>
      <x:c r="N27" s="2"/>
      <x:c r="O27" s="2"/>
    </x:row>
    <x:row r="28" ht="15" hidden="0" customHeight="1">
      <x:c r="C28" s="2"/>
      <x:c r="D28" s="2"/>
      <x:c r="E28" s="2"/>
      <x:c r="F28" s="2"/>
      <x:c r="G28" s="2"/>
      <x:c r="H28" s="2"/>
      <x:c r="I28" s="2"/>
      <x:c r="J28" s="2"/>
      <x:c r="K28" s="2"/>
      <x:c r="L28" s="2"/>
      <x:c r="M28" s="2"/>
      <x:c r="N28" s="2"/>
      <x:c r="O28" s="2"/>
    </x:row>
    <x:row r="29"/>
    <x:row r="30"/>
    <x:row r="31"/>
    <x:row r="32"/>
    <x:row r="33"/>
    <x:row r="34"/>
    <x:row r="35"/>
    <x:row r="36"/>
    <x:row r="37"/>
    <x:row r="38"/>
    <x:row r="39"/>
    <x:row r="40"/>
    <x:row r="41"/>
    <x:row r="42"/>
    <x:row r="43"/>
    <x:row r="44"/>
    <x:row r="45"/>
    <x:row r="46"/>
    <x:row r="47"/>
    <x:row r="48"/>
    <x:row r="49"/>
    <x:row r="50"/>
    <x:row r="51"/>
    <x:row r="52"/>
    <x:row r="53"/>
    <x:row r="54"/>
    <x:row r="55"/>
    <x:row r="56"/>
    <x:row r="57"/>
    <x:row r="58"/>
    <x:row r="59"/>
    <x:row r="60"/>
  </x:sheetData>
  <x:conditionalFormatting sqref="E6:O20">
    <x:cfRule type="expression" dxfId="3" priority="1">
      <x:formula>AND(ISNUMBER(E6),ABS(E6)&gt;$D6)</x:formula>
    </x:cfRule>
  </x:conditionalFormatting>
  <x:pageMargins left="0.7" right="0.7" top="0.75" bottom="0.75" header="0.3" footer="0.3"/>
</x:worksheet>
</file>

<file path=xl/worksheets/sheet14.xml><?xml version="1.0" encoding="utf-8"?>
<x:worksheet xmlns:x="http://schemas.openxmlformats.org/spreadsheetml/2006/main">
  <x:sheetPr>
    <x:tabColor rgb="FF808080"/>
  </x:sheetPr>
  <x:sheetViews>
    <x:sheetView showGridLines="0" workbookViewId="0">
      <x:pane ySplit="5" topLeftCell="A6" activePane="bottomLeft" state="frozen"/>
    </x:sheetView>
  </x:sheetViews>
  <x:sheetFormatPr defaultRowHeight="15"/>
  <x:cols>
    <x:col min="1" max="1" width="3" hidden="0" customWidth="1"/>
    <x:col min="2" max="2" width="3" hidden="0" customWidth="1"/>
    <x:col min="3" max="3" width="22" hidden="0" customWidth="1"/>
    <x:col min="4" max="4" width="24" hidden="0" customWidth="1"/>
    <x:col min="5" max="5" width="14" hidden="0" customWidth="1"/>
    <x:col min="6" max="6" width="58" hidden="0" customWidth="1"/>
    <x:col min="7" max="7" width="66" hidden="0" customWidth="1"/>
    <x:col min="8" max="8" width="22" hidden="0" customWidth="1"/>
    <x:col min="9" max="9" width="22" hidden="0" customWidth="1"/>
    <x:col min="10" max="10" width="46" hidden="0" customWidth="1"/>
  </x:cols>
  <x:sheetData>
    <x:row r="2" ht="18" hidden="0" customHeight="1">
      <x:c r="C2" s="3" t="str">
        <x:v>Source register</x:v>
      </x:c>
      <x:c r="D2" s="2"/>
      <x:c r="E2" s="2"/>
      <x:c r="F2" s="2"/>
      <x:c r="G2" s="2"/>
      <x:c r="H2" s="2"/>
      <x:c r="I2" s="2"/>
      <x:c r="J2" s="2"/>
    </x:row>
    <x:row r="3" ht="15" hidden="0" customHeight="1">
      <x:c r="C3" s="4" t="str">
        <x:v>Issuer filings, market inputs and broker research used within Clock A. Raw PDFs are not part of the public sample dataset.</x:v>
      </x:c>
      <x:c r="D3" s="2"/>
      <x:c r="E3" s="2"/>
      <x:c r="F3" s="2"/>
      <x:c r="G3" s="2"/>
      <x:c r="H3" s="2"/>
      <x:c r="I3" s="2"/>
      <x:c r="J3" s="2"/>
    </x:row>
    <x:row r="4" ht="15" hidden="0" customHeight="1">
      <x:c r="C4" s="5"/>
      <x:c r="D4" s="5"/>
      <x:c r="E4" s="5"/>
      <x:c r="F4" s="5"/>
      <x:c r="G4" s="5"/>
      <x:c r="H4" s="5"/>
      <x:c r="I4" s="5"/>
      <x:c r="J4" s="5"/>
      <x:c r="K4" s="6"/>
      <x:c r="L4" s="6"/>
      <x:c r="M4" s="6"/>
      <x:c r="N4" s="6"/>
      <x:c r="O4" s="6"/>
      <x:c r="P4" s="6"/>
      <x:c r="Q4" s="6"/>
    </x:row>
    <x:row r="5" ht="15" hidden="0" customHeight="1">
      <x:c r="C5" s="21" t="str">
        <x:v>Source ID</x:v>
      </x:c>
      <x:c r="D5" s="22" t="str">
        <x:v>Document</x:v>
      </x:c>
      <x:c r="E5" s="22" t="str">
        <x:v>Period end</x:v>
      </x:c>
      <x:c r="F5" s="22" t="str">
        <x:v>URL</x:v>
      </x:c>
      <x:c r="G5" s="22" t="str">
        <x:v>SHA-256</x:v>
      </x:c>
      <x:c r="H5" s="22" t="str">
        <x:v>Status</x:v>
      </x:c>
      <x:c r="I5" s="22" t="str">
        <x:v>Clock A</x:v>
      </x:c>
      <x:c r="J5" s="23" t="str">
        <x:v>Notes</x:v>
      </x:c>
    </x:row>
    <x:row r="6" ht="30" hidden="0" customHeight="1">
      <x:c r="C6" s="55" t="str">
        <x:v>fpt_ar_2020</x:v>
      </x:c>
      <x:c r="D6" s="55" t="str">
        <x:v>Annual Report 2020</x:v>
      </x:c>
      <x:c r="E6" s="55" t="str">
        <x:v>2020-12-31</x:v>
      </x:c>
      <x:c r="F6" s="155" t="str">
        <x:v>https://fpt.com/api/media/bctn_2020_3e29e2eb59.pdf</x:v>
      </x:c>
      <x:c r="G6" s="55" t="str">
        <x:v>8b0615e03ebb021a2e5bb17e140b1e7c04032184cd300f7f6459b4e42d0b1897</x:v>
      </x:c>
      <x:c r="H6" s="55" t="str">
        <x:v>text extracted</x:v>
      </x:c>
      <x:c r="I6" s="55" t="str">
        <x:v>yes</x:v>
      </x:c>
      <x:c r="J6" s="55" t="str">
        <x:v>Core FY2020 values use FY2021 reclassified comparative</x:v>
      </x:c>
    </x:row>
    <x:row r="7" ht="30" hidden="0" customHeight="1">
      <x:c r="C7" s="55" t="str">
        <x:v>fpt_ar_2021</x:v>
      </x:c>
      <x:c r="D7" s="55" t="str">
        <x:v>Annual Report 2021</x:v>
      </x:c>
      <x:c r="E7" s="55" t="str">
        <x:v>2021-12-31</x:v>
      </x:c>
      <x:c r="F7" s="155" t="str">
        <x:v>https://fpt.com/api/media/ar_fpt_2021_en_cbc563965a.pdf</x:v>
      </x:c>
      <x:c r="G7" s="55" t="str">
        <x:v>ad7c8afbfbf73e70623b9d1bada8dd69d7185cfd48d79b452ab58b7244963cc5</x:v>
      </x:c>
      <x:c r="H7" s="55" t="str">
        <x:v>core facts extracted</x:v>
      </x:c>
      <x:c r="I7" s="55" t="str">
        <x:v>yes</x:v>
      </x:c>
      <x:c r="J7" s="55" t="str"/>
    </x:row>
    <x:row r="8" ht="30" hidden="0" customHeight="1">
      <x:c r="C8" s="55" t="str">
        <x:v>fpt_ar_2022</x:v>
      </x:c>
      <x:c r="D8" s="55" t="str">
        <x:v>Annual Report 2022</x:v>
      </x:c>
      <x:c r="E8" s="55" t="str">
        <x:v>2022-12-31</x:v>
      </x:c>
      <x:c r="F8" s="155" t="str">
        <x:v>https://fpt.com/api/media/arfpt_2022_acf5112890.pdf</x:v>
      </x:c>
      <x:c r="G8" s="55" t="str">
        <x:v>3ba9c4f13d4a196c6c9751b307e810aa5648651a84215dfe96f48111ac6d65cd</x:v>
      </x:c>
      <x:c r="H8" s="55" t="str">
        <x:v>core facts extracted</x:v>
      </x:c>
      <x:c r="I8" s="55" t="str">
        <x:v>yes</x:v>
      </x:c>
      <x:c r="J8" s="55" t="str"/>
    </x:row>
    <x:row r="9" ht="30" hidden="0" customHeight="1">
      <x:c r="C9" s="55" t="str">
        <x:v>fpt_ar_2023</x:v>
      </x:c>
      <x:c r="D9" s="55" t="str">
        <x:v>Annual Report 2023</x:v>
      </x:c>
      <x:c r="E9" s="55" t="str">
        <x:v>2023-12-31</x:v>
      </x:c>
      <x:c r="F9" s="155" t="str">
        <x:v>https://fpt.com/api/media/annual_report_fpt_2023_en_4287f2041d.pdf</x:v>
      </x:c>
      <x:c r="G9" s="55" t="str">
        <x:v>ff9315e1da78ccd4cfca9b75cc12946c73a761e125bfa512aeedf6417fda796c</x:v>
      </x:c>
      <x:c r="H9" s="55" t="str">
        <x:v>core facts extracted</x:v>
      </x:c>
      <x:c r="I9" s="55" t="str">
        <x:v>yes</x:v>
      </x:c>
      <x:c r="J9" s="55" t="str"/>
    </x:row>
    <x:row r="10" ht="30" hidden="0" customHeight="1">
      <x:c r="C10" s="55" t="str">
        <x:v>fpt_ar_2024</x:v>
      </x:c>
      <x:c r="D10" s="55" t="str">
        <x:v>Annual Report 2024</x:v>
      </x:c>
      <x:c r="E10" s="55" t="str">
        <x:v>2024-12-31</x:v>
      </x:c>
      <x:c r="F10" s="155" t="str">
        <x:v>https://fpt.com/api/media/fpt_annual_report_2024_63d63bc4cd.pdf</x:v>
      </x:c>
      <x:c r="G10" s="55" t="str">
        <x:v>fa791cffcea5e14e287af9df36f4ac8b5dd8a21c4a13be46495b30a56e3ee1c4</x:v>
      </x:c>
      <x:c r="H10" s="55" t="str">
        <x:v>core facts + visual check</x:v>
      </x:c>
      <x:c r="I10" s="55" t="str">
        <x:v>yes</x:v>
      </x:c>
      <x:c r="J10" s="55" t="str"/>
    </x:row>
    <x:row r="11" ht="30" hidden="0" customHeight="1">
      <x:c r="C11" s="55" t="str">
        <x:v>fpt_earnings_9m2025</x:v>
      </x:c>
      <x:c r="D11" s="55" t="str">
        <x:v>Earnings Report 9M2025</x:v>
      </x:c>
      <x:c r="E11" s="55" t="str">
        <x:v>2025-09-30</x:v>
      </x:c>
      <x:c r="F11" s="155" t="str">
        <x:v>https://fpt.com/api/media/FPT_Earnings_Report_9_M2025_7a1a6aa5d1.pdf</x:v>
      </x:c>
      <x:c r="G11" s="55" t="str">
        <x:v>27802e9d82e0f4d7f396693d5b26087a2847bcd3e2e82beef0f27a35f6b983f1</x:v>
      </x:c>
      <x:c r="H11" s="55" t="str">
        <x:v>operating facts + visual check</x:v>
      </x:c>
      <x:c r="I11" s="55" t="str">
        <x:v>yes</x:v>
      </x:c>
      <x:c r="J11" s="55" t="str">
        <x:v>Published before Clock A cutoff</x:v>
      </x:c>
    </x:row>
    <x:row r="12" ht="30" hidden="0" customHeight="1">
      <x:c r="C12" s="55" t="str">
        <x:v>fpt_q3_2025_fs</x:v>
      </x:c>
      <x:c r="D12" s="55" t="str">
        <x:v>Consolidated Financial Statements Q3 2025</x:v>
      </x:c>
      <x:c r="E12" s="55" t="str">
        <x:v>2025-09-30</x:v>
      </x:c>
      <x:c r="F12" s="155" t="str">
        <x:v>https://file.fpts.com.vn/FileStore2/File/2025/10/24/20251023_-_FPT_-_BCTC_hop_nhat_Quy_3_2025.pdf</x:v>
      </x:c>
      <x:c r="G12" s="55" t="str">
        <x:v>fe01af2c48c75482f1e3af43cc6294fa8b44ff2f0b113798285b30c03616d162</x:v>
      </x:c>
      <x:c r="H12" s="55" t="str">
        <x:v>balance-sheet pages visually checked</x:v>
      </x:c>
      <x:c r="I12" s="55" t="str">
        <x:v>yes</x:v>
      </x:c>
      <x:c r="J12" s="55" t="str">
        <x:v>FPT disclosure dated 23-Oct-2025</x:v>
      </x:c>
    </x:row>
    <x:row r="13" ht="30" hidden="0" customHeight="1">
      <x:c r="C13" s="55" t="str">
        <x:v>ssc_gov_bond_oct2025</x:v>
      </x:c>
      <x:c r="D13" s="55" t="str">
        <x:v>Vietnam government bond market in October 2025</x:v>
      </x:c>
      <x:c r="E13" s="55" t="str">
        <x:v>2025-10-31</x:v>
      </x:c>
      <x:c r="F13" s="155" t="str">
        <x:v>https://ssc.gov.vn/webcenter/portal/ssc/pages_r/l/chitit?dDocName=APPSSCGOVVN1620160814</x:v>
      </x:c>
      <x:c r="G13" s="55" t="str"/>
      <x:c r="H13" s="55" t="str">
        <x:v>10-year yield extracted</x:v>
      </x:c>
      <x:c r="I13" s="55" t="str">
        <x:v>yes</x:v>
      </x:c>
      <x:c r="J13" s="55" t="str">
        <x:v>10-year secondary-market yield 3.4140%</x:v>
      </x:c>
    </x:row>
    <x:row r="14" ht="30" hidden="0" customHeight="1">
      <x:c r="C14" s="55" t="str">
        <x:v>damodaran_erp_2025</x:v>
      </x:c>
      <x:c r="D14" s="55" t="str">
        <x:v>Country risk premiums - January 2025</x:v>
      </x:c>
      <x:c r="E14" s="55" t="str">
        <x:v>2025-01-09</x:v>
      </x:c>
      <x:c r="F14" s="155" t="str">
        <x:v>https://pages.stern.nyu.edu/~adamodar/New_Home_Page/dataarchived.html</x:v>
      </x:c>
      <x:c r="G14" s="55" t="str"/>
      <x:c r="H14" s="55" t="str">
        <x:v>methodology reviewed</x:v>
      </x:c>
      <x:c r="I14" s="55" t="str">
        <x:v>yes</x:v>
      </x:c>
      <x:c r="J14" s="55" t="str">
        <x:v>Vietnam ERP cross-checked to 8.35% used in 2025 Vietnam broker research</x:v>
      </x:c>
    </x:row>
    <x:row r="15" ht="30" hidden="0" customHeight="1">
      <x:c r="C15" s="55" t="str">
        <x:v>yuanta_fpt_20250903</x:v>
      </x:c>
      <x:c r="D15" s="55" t="str">
        <x:v>FPT update report</x:v>
      </x:c>
      <x:c r="E15" s="55" t="str">
        <x:v>2025-09-03</x:v>
      </x:c>
      <x:c r="F15" s="155" t="str">
        <x:v>https://yuanta.com.vn/wp-content/uploads/2025/09/20250903-FPT-update-VN.pdf</x:v>
      </x:c>
      <x:c r="G15" s="55" t="str"/>
      <x:c r="H15" s="55" t="str">
        <x:v>valuation assumptions reviewed</x:v>
      </x:c>
      <x:c r="I15" s="55" t="str">
        <x:v>yes</x:v>
      </x:c>
      <x:c r="J15" s="55" t="str">
        <x:v>FPT beta 0.9</x:v>
      </x:c>
    </x:row>
    <x:row r="16" ht="30" hidden="0" customHeight="1">
      <x:c r="C16" s="55" t="str">
        <x:v>vietcap_fpt_20251022</x:v>
      </x:c>
      <x:c r="D16" s="55" t="str">
        <x:v>FPT update report</x:v>
      </x:c>
      <x:c r="E16" s="55" t="str">
        <x:v>2025-10-22</x:v>
      </x:c>
      <x:c r="F16" s="155" t="str">
        <x:v>https://www.vietcap.com.vn/api/cms-api/uploads/file/202510/FPT-20251022-BUY.pdf</x:v>
      </x:c>
      <x:c r="G16" s="55" t="str"/>
      <x:c r="H16" s="55" t="str">
        <x:v>peer table extracted</x:v>
      </x:c>
      <x:c r="I16" s="55" t="str">
        <x:v>yes</x:v>
      </x:c>
      <x:c r="J16" s="55" t="str">
        <x:v>Peer data at 21-Oct-2025; global IT and telecom medians; FPT 2026F P/E 17.0x</x:v>
      </x:c>
    </x:row>
    <x:row r="17" ht="30" hidden="0" customHeight="1">
      <x:c r="C17" s="55" t="str">
        <x:v>vietcap_fpt_20250814</x:v>
      </x:c>
      <x:c r="D17" s="55" t="str">
        <x:v>FPT update report</x:v>
      </x:c>
      <x:c r="E17" s="55" t="str">
        <x:v>2025-08-14</x:v>
      </x:c>
      <x:c r="F17" s="155" t="str">
        <x:v>https://www.vietcap.com.vn/api/cms-api/uploads/file/202508/FPT-20250814-OP.pdf</x:v>
      </x:c>
      <x:c r="G17" s="55" t="str"/>
      <x:c r="H17" s="55" t="str">
        <x:v>peer table extracted</x:v>
      </x:c>
      <x:c r="I17" s="55" t="str">
        <x:v>yes</x:v>
      </x:c>
      <x:c r="J17" s="55" t="str">
        <x:v>Education peer set at 12-Aug-2025</x:v>
      </x:c>
    </x:row>
    <x:row r="18" ht="30" hidden="0" customHeight="1">
      <x:c r="C18" s="55" t="str">
        <x:v>kbsv_fpt_20250911</x:v>
      </x:c>
      <x:c r="D18" s="55" t="str">
        <x:v>FPT 2Q2025 update</x:v>
      </x:c>
      <x:c r="E18" s="55" t="str">
        <x:v>2025-09-11</x:v>
      </x:c>
      <x:c r="F18" s="155" t="str">
        <x:v>https://www.kbsec.com.vn/pic/Service/KBSV_FPT_2Q25Update_Eng.pdf</x:v>
      </x:c>
      <x:c r="G18" s="55" t="str"/>
      <x:c r="H18" s="55" t="str">
        <x:v>valuation method reviewed</x:v>
      </x:c>
      <x:c r="I18" s="55" t="str">
        <x:v>yes</x:v>
      </x:c>
      <x:c r="J18" s="55" t="str">
        <x:v>50% DCF / 50% P/E; applied 21.0x 2026F P/E; target VND123,100</x:v>
      </x:c>
    </x:row>
    <x:row r="19" ht="30" hidden="0" customHeight="1">
      <x:c r="C19" s="55" t="str">
        <x:v>acbs_fpt_20251028</x:v>
      </x:c>
      <x:c r="D19" s="55" t="str">
        <x:v>FPT update report</x:v>
      </x:c>
      <x:c r="E19" s="55" t="str">
        <x:v>2025-10-28</x:v>
      </x:c>
      <x:c r="F19" s="155" t="str">
        <x:v>https://acbs.com.vn/acbsmedia/2025/10/FPT-by-ACBS_Update_Oct-28th-2025.pdf</x:v>
      </x:c>
      <x:c r="G19" s="55" t="str"/>
      <x:c r="H19" s="55" t="str">
        <x:v>forecast and target reviewed</x:v>
      </x:c>
      <x:c r="I19" s="55" t="str">
        <x:v>yes</x:v>
      </x:c>
      <x:c r="J19" s="55" t="str">
        <x:v>Target VND122,400; forecast table used as an external cross-check only</x:v>
      </x:c>
    </x:row>
    <x:row r="20" ht="30" hidden="0" customHeight="1">
      <x:c r="C20" s="55" t="str">
        <x:v>ssi_hsx_price_history</x:v>
      </x:c>
      <x:c r="D20" s="55" t="str">
        <x:v>SSI covered-warrant prospectus using HOSE price history</x:v>
      </x:c>
      <x:c r="E20" s="55" t="str">
        <x:v>2025-10-31</x:v>
      </x:c>
      <x:c r="F20" s="155" t="str">
        <x:v>https://www.ssi.com.vn/upload/files/KHCN/Phat-trien-san-pham/Covered%20Warrant/2026/03.06.2026/FPT3M-1/FPT%203M-1%20ENG.pdf</x:v>
      </x:c>
      <x:c r="G20" s="55" t="str"/>
      <x:c r="H20" s="55" t="str">
        <x:v>historical price extracted</x:v>
      </x:c>
      <x:c r="I20" s="55" t="str">
        <x:v>price only</x:v>
      </x:c>
      <x:c r="J20" s="55" t="str">
        <x:v>31-Oct-2025 FPT close VND102,830; later publication used only for historical market-price verification</x:v>
      </x:c>
    </x:row>
    <x:row r="21" ht="30" hidden="0" customHeight="1">
      <x:c r="C21" s="55" t="str">
        <x:v>vndirect_finfo_stock_prices</x:v>
      </x:c>
      <x:c r="D21" s="55" t="str">
        <x:v>VNDirect Finfo stock-prices endpoint</x:v>
      </x:c>
      <x:c r="E21" s="55" t="str">
        <x:v>2025-10-31</x:v>
      </x:c>
      <x:c r="F21" s="155" t="str">
        <x:v>https://api-finfo.vndirect.com.vn/v4/stock_prices?q=code:FPT~date:gte:2020-01-01~date:lte:2025-10-31&amp;sort=date&amp;size=2000&amp;page=1</x:v>
      </x:c>
      <x:c r="G21" s="55" t="str"/>
      <x:c r="H21" s="55" t="str">
        <x:v>month-end sample derived</x:v>
      </x:c>
      <x:c r="I21" s="55" t="str">
        <x:v>price only</x:v>
      </x:c>
      <x:c r="J21" s="55" t="str">
        <x:v>Current adjusted closes are rebased so the 31-Oct-2025 adjusted close equals that day's raw close; this neutralises uniform post-cutoff backward adjustments</x:v>
      </x:c>
    </x:row>
    <x:row r="22" ht="30" hidden="0" customHeight="1">
      <x:c r="C22" s="55" t="str">
        <x:v>shs_fpt_initial_202505</x:v>
      </x:c>
      <x:c r="D22" s="55" t="str">
        <x:v>FPT initial coverage report</x:v>
      </x:c>
      <x:c r="E22" s="55" t="str">
        <x:v>2025-05-20</x:v>
      </x:c>
      <x:c r="F22" s="155" t="str">
        <x:v>https://shs.com.vn/Sites/QuoteVN/SiteRoot/reportattach/20250521_94646_FPT%20Intitial%20Report%202025%20Eng%20Ver.pdf</x:v>
      </x:c>
      <x:c r="G22" s="55" t="str"/>
      <x:c r="H22" s="55" t="str">
        <x:v>historical P/E chart reviewed</x:v>
      </x:c>
      <x:c r="I22" s="55" t="str">
        <x:v>yes</x:v>
      </x:c>
      <x:c r="J22" s="55" t="str">
        <x:v>SHS / FiinProX Jan-2014 to Jan-2025 P/E chart; mean and standard-deviation levels are approximate chart reads and are used only as diagnostics</x:v>
      </x:c>
    </x:row>
    <x:row r="23" ht="15" hidden="0" customHeight="1">
      <x:c r="C23" s="2"/>
      <x:c r="D23" s="2"/>
      <x:c r="E23" s="2"/>
      <x:c r="F23" s="2"/>
      <x:c r="G23" s="2"/>
      <x:c r="H23" s="2"/>
      <x:c r="I23" s="2"/>
      <x:c r="J23" s="2"/>
    </x:row>
    <x:row r="24" ht="15" hidden="0" customHeight="1">
      <x:c r="C24" s="2"/>
      <x:c r="D24" s="2"/>
      <x:c r="E24" s="2"/>
      <x:c r="F24" s="2"/>
      <x:c r="G24" s="2"/>
      <x:c r="H24" s="2"/>
      <x:c r="I24" s="2"/>
      <x:c r="J24" s="2"/>
    </x:row>
    <x:row r="25" ht="15" hidden="0" customHeight="1">
      <x:c r="C25" s="2"/>
      <x:c r="D25" s="2"/>
      <x:c r="E25" s="2"/>
      <x:c r="F25" s="2"/>
      <x:c r="G25" s="2"/>
      <x:c r="H25" s="2"/>
      <x:c r="I25" s="2"/>
      <x:c r="J25" s="2"/>
    </x:row>
    <x:row r="26" ht="15" hidden="0" customHeight="1">
      <x:c r="C26" s="2"/>
      <x:c r="D26" s="2"/>
      <x:c r="E26" s="2"/>
      <x:c r="F26" s="2"/>
      <x:c r="G26" s="2"/>
      <x:c r="H26" s="2"/>
      <x:c r="I26" s="2"/>
      <x:c r="J26" s="2"/>
    </x:row>
    <x:row r="27" ht="15" hidden="0" customHeight="1">
      <x:c r="C27" s="2"/>
      <x:c r="D27" s="2"/>
      <x:c r="E27" s="2"/>
      <x:c r="F27" s="2"/>
      <x:c r="G27" s="2"/>
      <x:c r="H27" s="2"/>
      <x:c r="I27" s="2"/>
      <x:c r="J27" s="2"/>
    </x:row>
    <x:row r="28" ht="15" hidden="0" customHeight="1">
      <x:c r="C28" s="2"/>
      <x:c r="D28" s="2"/>
      <x:c r="E28" s="2"/>
      <x:c r="F28" s="2"/>
      <x:c r="G28" s="2"/>
      <x:c r="H28" s="2"/>
      <x:c r="I28" s="2"/>
      <x:c r="J28" s="2"/>
    </x:row>
    <x:row r="29" ht="15" hidden="0" customHeight="1">
      <x:c r="C29" s="2"/>
      <x:c r="D29" s="2"/>
      <x:c r="E29" s="2"/>
      <x:c r="F29" s="2"/>
      <x:c r="G29" s="2"/>
      <x:c r="H29" s="2"/>
      <x:c r="I29" s="2"/>
      <x:c r="J29" s="2"/>
    </x:row>
    <x:row r="30" ht="15" hidden="0" customHeight="1">
      <x:c r="C30" s="2"/>
      <x:c r="D30" s="2"/>
      <x:c r="E30" s="2"/>
      <x:c r="F30" s="2"/>
      <x:c r="G30" s="2"/>
      <x:c r="H30" s="2"/>
      <x:c r="I30" s="2"/>
      <x:c r="J30" s="2"/>
    </x:row>
    <x:row r="31"/>
    <x:row r="32"/>
    <x:row r="33"/>
    <x:row r="34"/>
    <x:row r="35"/>
    <x:row r="36"/>
    <x:row r="37"/>
    <x:row r="38"/>
    <x:row r="39"/>
    <x:row r="40"/>
    <x:row r="41"/>
    <x:row r="42"/>
    <x:row r="43"/>
    <x:row r="44"/>
    <x:row r="45"/>
    <x:row r="46"/>
    <x:row r="47"/>
    <x:row r="48"/>
    <x:row r="49"/>
    <x:row r="50"/>
    <x:row r="51"/>
    <x:row r="52"/>
    <x:row r="53"/>
    <x:row r="54"/>
    <x:row r="55"/>
    <x:row r="56"/>
    <x:row r="57"/>
    <x:row r="58"/>
    <x:row r="59"/>
    <x:row r="60"/>
  </x:sheetData>
  <x:pageMargins left="0.7" right="0.7" top="0.75" bottom="0.75" header="0.3" footer="0.3"/>
</x:worksheet>
</file>